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800cae9e8349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f0dc4a7ed0134759"/>
    <x:sheet xmlns:r="http://schemas.openxmlformats.org/officeDocument/2006/relationships" name="Data_Input" sheetId="2" r:id="Rff577cd27a8747d5"/>
    <x:sheet xmlns:r="http://schemas.openxmlformats.org/officeDocument/2006/relationships" name="Calculations" sheetId="3" r:id="R507cbc7847034c55"/>
    <x:sheet xmlns:r="http://schemas.openxmlformats.org/officeDocument/2006/relationships" name="Chart_Source" sheetId="4" r:id="R252d813e13354302"/>
    <x:sheet xmlns:r="http://schemas.openxmlformats.org/officeDocument/2006/relationships" name="Charts" sheetId="5" r:id="R16b6fc2ef03f407c"/>
    <x:sheet xmlns:r="http://schemas.openxmlformats.org/officeDocument/2006/relationships" name="N10 Corrections" sheetId="6" r:id="R8c2707ac89eb4bed"/>
    <x:sheet xmlns:r="http://schemas.openxmlformats.org/officeDocument/2006/relationships" name="Grid Corrections" sheetId="7" r:id="R07aa6425bfea45df"/>
    <x:sheet xmlns:r="http://schemas.openxmlformats.org/officeDocument/2006/relationships" name="Kimi N10 Update" sheetId="8" r:id="Rbfdca2c6a4f942c3"/>
  </x:sheets>
</x:workbook>
</file>

<file path=xl/sharedStrings.xml><?xml version="1.0" encoding="utf-8"?>
<x:sst xmlns:x="http://schemas.openxmlformats.org/spreadsheetml/2006/main">
  <x:si>
    <x:t xml:space="preserve">N-way Accuracy: Standard Deviation Template</x:t>
  </x:si>
  <x:si>
    <x:t xml:space="preserve">Step</x:t>
  </x:si>
  <x:si>
    <x:t xml:space="preserve">Instruction</x:t>
  </x:si>
  <x:si>
    <x:t xml:space="preserve">Go to Data_Input and fill only the yellow Baseline_SD and Tree_Inference_SD cells.</x:t>
  </x:si>
  <x:si>
    <x:t xml:space="preserve">Enter standard deviations in percentage points (for example, enter 1.25 for ±1.25 pp).</x:t>
  </x:si>
  <x:si>
    <x:t xml:space="preserve">Leave unknown SD values blank; blank values are not treated as zero.</x:t>
  </x:si>
  <x:si>
    <x:t xml:space="preserve">Calculations computes Mean − SD and Mean + SD automatically.</x:t>
  </x:si>
  <x:si>
    <x:t xml:space="preserve">Charts updates in Excel; the PNG redraw script creates shaded ±SD bands.</x:t>
  </x:si>
  <x:si>
    <x:t xml:space="preserve">Visual encoding</x:t>
  </x:si>
  <x:si>
    <x:t xml:space="preserve">Meaning</x:t>
  </x:si>
  <x:si>
    <x:t xml:space="preserve">Gray dashed line</x:t>
  </x:si>
  <x:si>
    <x:t xml:space="preserve">Baseline mean</x:t>
  </x:si>
  <x:si>
    <x:t xml:space="preserve">Red solid line</x:t>
  </x:si>
  <x:si>
    <x:t xml:space="preserve">Tree Inference mean</x:t>
  </x:si>
  <x:si>
    <x:t xml:space="preserve">Lighter dotted lines / shaded band</x:t>
  </x:si>
  <x:si>
    <x:t xml:space="preserve">Mean ± standard deviation</x:t>
  </x:si>
  <x:si>
    <x:t xml:space="preserve">Editable experiment summary (yellow cells are inputs)</x:t>
  </x:si>
  <x:si>
    <x:t xml:space="preserve">Model_Key</x:t>
  </x:si>
  <x:si>
    <x:t xml:space="preserve">Panel</x:t>
  </x:si>
  <x:si>
    <x:t xml:space="preserve">Display_Name</x:t>
  </x:si>
  <x:si>
    <x:t xml:space="preserve">Nway</x:t>
  </x:si>
  <x:si>
    <x:t xml:space="preserve">Baseline_Mean (%)</x:t>
  </x:si>
  <x:si>
    <x:t xml:space="preserve">Baseline_SD (pp)</x:t>
  </x:si>
  <x:si>
    <x:t xml:space="preserve">Tree_Inference_Mean (%)</x:t>
  </x:si>
  <x:si>
    <x:t xml:space="preserve">Tree_Inference_SD (pp)</x:t>
  </x:si>
  <x:si>
    <x:t xml:space="preserve">qwen7b</x:t>
  </x:si>
  <x:si>
    <x:t xml:space="preserve">(a)</x:t>
  </x:si>
  <x:si>
    <x:t xml:space="preserve">Qwen2.5-VL-7B</x:t>
  </x:si>
  <x:si>
    <x:t xml:space="preserve">qwen2b</x:t>
  </x:si>
  <x:si>
    <x:t xml:space="preserve">(b)</x:t>
  </x:si>
  <x:si>
    <x:t xml:space="preserve">Qwen3-VL-2B</x:t>
  </x:si>
  <x:si>
    <x:t xml:space="preserve">qwen8b</x:t>
  </x:si>
  <x:si>
    <x:t xml:space="preserve">(c)</x:t>
  </x:si>
  <x:si>
    <x:t xml:space="preserve">Qwen3-VL-8B</x:t>
  </x:si>
  <x:si>
    <x:t xml:space="preserve">deepseek</x:t>
  </x:si>
  <x:si>
    <x:t xml:space="preserve">(d)</x:t>
  </x:si>
  <x:si>
    <x:t xml:space="preserve">DeepSeek-VL-7B</x:t>
  </x:si>
  <x:si>
    <x:t xml:space="preserve">kimi</x:t>
  </x:si>
  <x:si>
    <x:t xml:space="preserve">(e)</x:t>
  </x:si>
  <x:si>
    <x:t xml:space="preserve">Kimi-VL-A3B</x:t>
  </x:si>
  <x:si>
    <x:t xml:space="preserve">gemma4</x:t>
  </x:si>
  <x:si>
    <x:t xml:space="preserve">(f)</x:t>
  </x:si>
  <x:si>
    <x:t xml:space="preserve">Gemma-4-E4B</x:t>
  </x:si>
  <x:si>
    <x:t xml:space="preserve">Baseline_Mean</x:t>
  </x:si>
  <x:si>
    <x:t xml:space="preserve">Baseline_Lower</x:t>
  </x:si>
  <x:si>
    <x:t xml:space="preserve">Baseline_Upper</x:t>
  </x:si>
  <x:si>
    <x:t xml:space="preserve">Tree_Mean</x:t>
  </x:si>
  <x:si>
    <x:t xml:space="preserve">Tree_Lower</x:t>
  </x:si>
  <x:si>
    <x:t xml:space="preserve">Tree_Upper</x:t>
  </x:si>
  <x:si>
    <x:t xml:space="preserve">Baseline_SD</x:t>
  </x:si>
  <x:si>
    <x:t xml:space="preserve">Tree_SD</x:t>
  </x:si>
  <x:si>
    <x:t xml:space="preserve">Baseline - SD</x:t>
  </x:si>
  <x:si>
    <x:t xml:space="preserve">Baseline + SD</x:t>
  </x:si>
  <x:si>
    <x:t xml:space="preserve">Tree - SD</x:t>
  </x:si>
  <x:si>
    <x:t xml:space="preserve">Tree + SD</x:t>
  </x:si>
  <x:si>
    <x:t xml:space="preserve">Baseline</x:t>
  </x:si>
  <x:si>
    <x:t xml:space="preserve">Tree Inference</x:t>
  </x:si>
  <x:si>
    <x:t xml:space="preserve">Accuracy by Number of Candidate Classes — means with ±SD envelopes</x:t>
  </x:si>
  <x:si>
    <x:t xml:space="preserve">Gray dashed: Baseline mean · Red solid: Tree Inference mean · Lighter dotted: mean ± SD (visible after SD is entered)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</x:si>
</x:sst>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"/>
  </x:numFmts>
  <x:fonts count="32">
    <x:font>
      <x:sz val="11"/>
      <x:name val="Carlito"/>
    </x:font>
    <x:font>
      <x:b/>
      <x:sz val="16"/>
      <x:color rgb="FF1F1F1F"/>
      <x:name val="Carlito"/>
    </x:font>
    <x:font>
      <x:i/>
      <x:sz val="10"/>
      <x:color rgb="FF595959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FF0000"/>
      <x:name val="Carlito"/>
    </x:font>
    <x:font>
      <x:b/>
      <x:sz val="16"/>
      <x:color rgb="FFFFFFFF"/>
      <x:name val="Carlito"/>
    </x:font>
    <x:font>
      <x:i/>
      <x:sz val="11"/>
      <x:color rgb="FF375A7F"/>
      <x:name val="Carlito"/>
    </x:font>
    <x:font>
      <x:sz val="11"/>
      <x:color rgb="FF9C6500"/>
      <x:name val="Carlito"/>
    </x:font>
    <x:font>
      <x:b/>
      <x:sz val="18"/>
      <x:color rgb="FFFFFFFF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0"/>
      <x:name val="Arial"/>
    </x:font>
    <x:font>
      <x:b/>
      <x:sz val="10"/>
      <x:color rgb="FFFFFFFF"/>
      <x:name val="Arial"/>
    </x:font>
  </x:fonts>
  <x:fills count="4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7F7F7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7">
    <x:border/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  <x:border>
      <x:left style="thin">
        <x:color rgb="FF2F5597"/>
      </x:left>
      <x:top style="thin">
        <x:color rgb="FF2F5597"/>
      </x:top>
      <x:bottom style="thin">
        <x:color rgb="FF2F5597"/>
      </x:bottom>
    </x:border>
    <x:border>
      <x:top style="thin">
        <x:color rgb="FF2F5597"/>
      </x:top>
      <x:bottom style="thin">
        <x:color rgb="FF2F5597"/>
      </x:bottom>
    </x:border>
    <x:border>
      <x:right style="thin">
        <x:color rgb="FF2F5597"/>
      </x:right>
      <x:top style="thin">
        <x:color rgb="FF2F5597"/>
      </x:top>
      <x:bottom style="thin">
        <x:color rgb="FF2F5597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  <x:border>
      <x:left style="thin">
        <x:color rgb="FF9EADBA"/>
      </x:left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/>
    <x:xf numFmtId="43" fontId="10" fillId="0" borderId="0" applyFont="0" applyFill="0" applyBorder="0" applyAlignment="0" applyProtection="0">
      <x:alignment vertical="center"/>
    </x:xf>
    <x:xf numFmtId="44" fontId="10" fillId="0" borderId="0" applyFont="0" applyFill="0" applyBorder="0" applyAlignment="0" applyProtection="0">
      <x:alignment vertical="center"/>
    </x:xf>
    <x:xf numFmtId="9" fontId="10" fillId="0" borderId="0" applyFont="0" applyFill="0" applyBorder="0" applyAlignment="0" applyProtection="0">
      <x:alignment vertical="center"/>
    </x:xf>
    <x:xf numFmtId="41" fontId="10" fillId="0" borderId="0" applyFont="0" applyFill="0" applyBorder="0" applyAlignment="0" applyProtection="0">
      <x:alignment vertical="center"/>
    </x:xf>
    <x:xf numFmtId="42" fontId="10" fillId="0" borderId="0" applyFon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0" fillId="10" borderId="19" applyNumberFormat="0" applyFont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20" applyNumberFormat="0" applyFill="0" applyAlignment="0" applyProtection="0">
      <x:alignment vertical="center"/>
    </x:xf>
    <x:xf numFmtId="0" fontId="17" fillId="0" borderId="20" applyNumberFormat="0" applyFill="0" applyAlignment="0" applyProtection="0">
      <x:alignment vertical="center"/>
    </x:xf>
    <x:xf numFmtId="0" fontId="18" fillId="0" borderId="21" applyNumberFormat="0" applyFill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11" borderId="22" applyNumberFormat="0" applyAlignment="0" applyProtection="0">
      <x:alignment vertical="center"/>
    </x:xf>
    <x:xf numFmtId="0" fontId="20" fillId="12" borderId="23" applyNumberFormat="0" applyAlignment="0" applyProtection="0">
      <x:alignment vertical="center"/>
    </x:xf>
    <x:xf numFmtId="0" fontId="21" fillId="12" borderId="22" applyNumberFormat="0" applyAlignment="0" applyProtection="0">
      <x:alignment vertical="center"/>
    </x:xf>
    <x:xf numFmtId="0" fontId="22" fillId="13" borderId="24" applyNumberFormat="0" applyAlignment="0" applyProtection="0">
      <x:alignment vertical="center"/>
    </x:xf>
    <x:xf numFmtId="0" fontId="23" fillId="0" borderId="25" applyNumberFormat="0" applyFill="0" applyAlignment="0" applyProtection="0">
      <x:alignment vertical="center"/>
    </x:xf>
    <x:xf numFmtId="0" fontId="24" fillId="0" borderId="26" applyNumberFormat="0" applyFill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6" fillId="15" borderId="0" applyNumberFormat="0" applyBorder="0" applyAlignment="0" applyProtection="0">
      <x:alignment vertical="center"/>
    </x:xf>
    <x:xf numFmtId="0" fontId="27" fillId="16" borderId="0" applyNumberFormat="0" applyBorder="0" applyAlignment="0" applyProtection="0">
      <x:alignment vertical="center"/>
    </x:xf>
    <x:xf numFmtId="0" fontId="28" fillId="17" borderId="0" applyNumberFormat="0" applyBorder="0" applyAlignment="0" applyProtection="0">
      <x:alignment vertical="center"/>
    </x:xf>
    <x:xf numFmtId="0" fontId="29" fillId="18" borderId="0" applyNumberFormat="0" applyBorder="0" applyAlignment="0" applyProtection="0">
      <x:alignment vertical="center"/>
    </x:xf>
    <x:xf numFmtId="0" fontId="29" fillId="19" borderId="0" applyNumberFormat="0" applyBorder="0" applyAlignment="0" applyProtection="0">
      <x:alignment vertical="center"/>
    </x:xf>
    <x:xf numFmtId="0" fontId="28" fillId="20" borderId="0" applyNumberFormat="0" applyBorder="0" applyAlignment="0" applyProtection="0">
      <x:alignment vertical="center"/>
    </x:xf>
    <x:xf numFmtId="0" fontId="28" fillId="21" borderId="0" applyNumberFormat="0" applyBorder="0" applyAlignment="0" applyProtection="0">
      <x:alignment vertical="center"/>
    </x:xf>
    <x:xf numFmtId="0" fontId="29" fillId="22" borderId="0" applyNumberFormat="0" applyBorder="0" applyAlignment="0" applyProtection="0">
      <x:alignment vertical="center"/>
    </x:xf>
    <x:xf numFmtId="0" fontId="29" fillId="23" borderId="0" applyNumberFormat="0" applyBorder="0" applyAlignment="0" applyProtection="0">
      <x:alignment vertical="center"/>
    </x:xf>
    <x:xf numFmtId="0" fontId="28" fillId="24" borderId="0" applyNumberFormat="0" applyBorder="0" applyAlignment="0" applyProtection="0">
      <x:alignment vertical="center"/>
    </x:xf>
    <x:xf numFmtId="0" fontId="28" fillId="25" borderId="0" applyNumberFormat="0" applyBorder="0" applyAlignment="0" applyProtection="0">
      <x:alignment vertical="center"/>
    </x:xf>
    <x:xf numFmtId="0" fontId="29" fillId="26" borderId="0" applyNumberFormat="0" applyBorder="0" applyAlignment="0" applyProtection="0">
      <x:alignment vertical="center"/>
    </x:xf>
    <x:xf numFmtId="0" fontId="29" fillId="27" borderId="0" applyNumberFormat="0" applyBorder="0" applyAlignment="0" applyProtection="0">
      <x:alignment vertical="center"/>
    </x:xf>
    <x:xf numFmtId="0" fontId="28" fillId="28" borderId="0" applyNumberFormat="0" applyBorder="0" applyAlignment="0" applyProtection="0">
      <x:alignment vertical="center"/>
    </x:xf>
    <x:xf numFmtId="0" fontId="28" fillId="29" borderId="0" applyNumberFormat="0" applyBorder="0" applyAlignment="0" applyProtection="0">
      <x:alignment vertical="center"/>
    </x:xf>
    <x:xf numFmtId="0" fontId="29" fillId="30" borderId="0" applyNumberFormat="0" applyBorder="0" applyAlignment="0" applyProtection="0">
      <x:alignment vertical="center"/>
    </x:xf>
    <x:xf numFmtId="0" fontId="29" fillId="31" borderId="0" applyNumberFormat="0" applyBorder="0" applyAlignment="0" applyProtection="0">
      <x:alignment vertical="center"/>
    </x:xf>
    <x:xf numFmtId="0" fontId="28" fillId="32" borderId="0" applyNumberFormat="0" applyBorder="0" applyAlignment="0" applyProtection="0">
      <x:alignment vertical="center"/>
    </x:xf>
    <x:xf numFmtId="0" fontId="28" fillId="33" borderId="0" applyNumberFormat="0" applyBorder="0" applyAlignment="0" applyProtection="0">
      <x:alignment vertical="center"/>
    </x:xf>
    <x:xf numFmtId="0" fontId="29" fillId="34" borderId="0" applyNumberFormat="0" applyBorder="0" applyAlignment="0" applyProtection="0">
      <x:alignment vertical="center"/>
    </x:xf>
    <x:xf numFmtId="0" fontId="29" fillId="35" borderId="0" applyNumberFormat="0" applyBorder="0" applyAlignment="0" applyProtection="0">
      <x:alignment vertical="center"/>
    </x:xf>
    <x:xf numFmtId="0" fontId="28" fillId="36" borderId="0" applyNumberFormat="0" applyBorder="0" applyAlignment="0" applyProtection="0">
      <x:alignment vertical="center"/>
    </x:xf>
    <x:xf numFmtId="0" fontId="28" fillId="37" borderId="0" applyNumberFormat="0" applyBorder="0" applyAlignment="0" applyProtection="0">
      <x:alignment vertical="center"/>
    </x:xf>
    <x:xf numFmtId="0" fontId="29" fillId="38" borderId="0" applyNumberFormat="0" applyBorder="0" applyAlignment="0" applyProtection="0">
      <x:alignment vertical="center"/>
    </x:xf>
    <x:xf numFmtId="0" fontId="29" fillId="39" borderId="0" applyNumberFormat="0" applyBorder="0" applyAlignment="0" applyProtection="0">
      <x:alignment vertical="center"/>
    </x:xf>
    <x:xf numFmtId="0" fontId="28" fillId="40" borderId="0" applyNumberFormat="0" applyBorder="0" applyAlignment="0" applyProtection="0">
      <x:alignment vertical="center"/>
    </x:xf>
    <x:xf numFmtId="0" fontId="0" fillId="0" borderId="0"/>
  </x:cellStyleXfs>
  <x:cellXfs count="59">
    <x:xf numFmtId="0" fontId="0" fillId="0" borderId="0" xfId="0"/>
    <x:xf numFmtId="0" fontId="1" fillId="2" borderId="0" xfId="49" applyFont="1" applyFill="1" applyAlignment="1">
      <x:alignment horizontal="center"/>
    </x:xf>
    <x:xf numFmtId="0" fontId="2" fillId="3" borderId="0" xfId="49" applyFont="1" applyFill="1" applyAlignment="1">
      <x:alignment horizontal="center" vertical="center" wrapText="1"/>
    </x:xf>
    <x:xf numFmtId="0" fontId="3" fillId="4" borderId="1" xfId="49" applyFont="1" applyFill="1" applyBorder="1" applyAlignment="1">
      <x:alignment horizontal="center"/>
    </x:xf>
    <x:xf numFmtId="1" fontId="0" fillId="0" borderId="1" xfId="49" applyNumberFormat="1" applyFont="1" applyBorder="1"/>
    <x:xf numFmtId="2" fontId="0" fillId="0" borderId="1" xfId="49" applyNumberFormat="1" applyFont="1" applyBorder="1"/>
    <x:xf numFmtId="0" fontId="4" fillId="5" borderId="2" xfId="49" applyFont="1" applyFill="1" applyBorder="1" applyAlignment="1">
      <x:alignment horizontal="center" wrapText="1"/>
    </x:xf>
    <x:xf numFmtId="0" fontId="0" fillId="0" borderId="3" xfId="49" applyFont="1" applyBorder="1"/>
    <x:xf numFmtId="1" fontId="0" fillId="0" borderId="3" xfId="49" applyNumberFormat="1" applyFont="1" applyBorder="1"/>
    <x:xf numFmtId="2" fontId="0" fillId="0" borderId="3" xfId="49" applyNumberFormat="1" applyFont="1" applyBorder="1"/>
    <x:xf numFmtId="0" fontId="0" fillId="0" borderId="4" xfId="49" applyFont="1" applyBorder="1"/>
    <x:xf numFmtId="1" fontId="0" fillId="0" borderId="4" xfId="49" applyNumberFormat="1" applyFont="1" applyBorder="1"/>
    <x:xf numFmtId="2" fontId="0" fillId="0" borderId="4" xfId="49" applyNumberFormat="1" applyFont="1" applyBorder="1"/>
    <x:xf numFmtId="0" fontId="5" fillId="0" borderId="0" xfId="0" applyFont="1"/>
    <x:xf numFmtId="0" fontId="6" fillId="6" borderId="0" xfId="49" applyFont="1" applyFill="1"/>
    <x:xf numFmtId="0" fontId="7" fillId="7" borderId="0" xfId="49" applyFont="1" applyFill="1"/>
    <x:xf numFmtId="0" fontId="4" fillId="8" borderId="5" xfId="49" applyFont="1" applyFill="1" applyBorder="1" applyAlignment="1">
      <x:alignment horizontal="center" wrapText="1"/>
    </x:xf>
    <x:xf numFmtId="0" fontId="4" fillId="8" borderId="6" xfId="49" applyFont="1" applyFill="1" applyBorder="1" applyAlignment="1">
      <x:alignment horizontal="center" wrapText="1"/>
    </x:xf>
    <x:xf numFmtId="0" fontId="4" fillId="8" borderId="7" xfId="49" applyFont="1" applyFill="1" applyBorder="1" applyAlignment="1">
      <x:alignment horizontal="center" wrapText="1"/>
    </x:xf>
    <x:xf numFmtId="0" fontId="0" fillId="0" borderId="2" xfId="49" applyFont="1" applyBorder="1"/>
    <x:xf numFmtId="1" fontId="0" fillId="0" borderId="2" xfId="49" applyNumberFormat="1" applyFont="1" applyBorder="1"/>
    <x:xf numFmtId="2" fontId="0" fillId="0" borderId="2" xfId="49" applyNumberFormat="1" applyFont="1" applyBorder="1"/>
    <x:xf numFmtId="2" fontId="8" fillId="9" borderId="2" xfId="0" applyNumberFormat="1" applyFont="1" applyFill="1" applyBorder="1"/>
    <x:xf numFmtId="2" fontId="8" fillId="9" borderId="3" xfId="0" applyNumberFormat="1" applyFont="1" applyFill="1" applyBorder="1"/>
    <x:xf numFmtId="0" fontId="5" fillId="0" borderId="3" xfId="49" applyFont="1" applyBorder="1"/>
    <x:xf numFmtId="1" fontId="5" fillId="0" borderId="3" xfId="49" applyNumberFormat="1" applyFont="1" applyBorder="1"/>
    <x:xf numFmtId="2" fontId="5" fillId="0" borderId="3" xfId="49" applyNumberFormat="1" applyFont="1" applyBorder="1"/>
    <x:xf numFmtId="2" fontId="5" fillId="9" borderId="3" xfId="0" applyNumberFormat="1" applyFont="1" applyFill="1" applyBorder="1"/>
    <x:xf numFmtId="0" fontId="5" fillId="0" borderId="4" xfId="49" applyFont="1" applyBorder="1"/>
    <x:xf numFmtId="1" fontId="5" fillId="0" borderId="4" xfId="49" applyNumberFormat="1" applyFont="1" applyBorder="1"/>
    <x:xf numFmtId="2" fontId="5" fillId="0" borderId="4" xfId="49" applyNumberFormat="1" applyFont="1" applyBorder="1"/>
    <x:xf numFmtId="2" fontId="5" fillId="9" borderId="4" xfId="0" applyNumberFormat="1" applyFont="1" applyFill="1" applyBorder="1"/>
    <x:xf numFmtId="0" fontId="9" fillId="6" borderId="0" xfId="49" applyFont="1" applyFill="1" applyAlignment="1">
      <x:alignment vertical="center" wrapText="1"/>
    </x:xf>
    <x:xf numFmtId="0" fontId="9" fillId="6" borderId="0" xfId="49" applyFont="1" applyFill="1" applyAlignment="1">
      <x:alignment vertical="center"/>
    </x:xf>
    <x:xf numFmtId="0" fontId="3" fillId="4" borderId="8" xfId="49" applyFont="1" applyFill="1" applyBorder="1"/>
    <x:xf numFmtId="0" fontId="3" fillId="4" borderId="9" xfId="49" applyFont="1" applyFill="1" applyBorder="1"/>
    <x:xf numFmtId="1" fontId="0" fillId="0" borderId="10" xfId="49" applyNumberFormat="1" applyFont="1" applyBorder="1" applyAlignment="1">
      <x:alignment horizontal="center"/>
    </x:xf>
    <x:xf numFmtId="0" fontId="0" fillId="0" borderId="10" xfId="49" applyFont="1" applyBorder="1"/>
    <x:xf numFmtId="1" fontId="0" fillId="0" borderId="11" xfId="49" applyNumberFormat="1" applyFont="1" applyBorder="1" applyAlignment="1">
      <x:alignment horizontal="center"/>
    </x:xf>
    <x:xf numFmtId="0" fontId="0" fillId="0" borderId="11" xfId="49" applyFont="1" applyBorder="1"/>
    <x:xf numFmtId="1" fontId="0" fillId="0" borderId="12" xfId="49" applyNumberFormat="1" applyFont="1" applyBorder="1" applyAlignment="1">
      <x:alignment horizontal="center"/>
    </x:xf>
    <x:xf numFmtId="0" fontId="0" fillId="0" borderId="12" xfId="49" applyFont="1" applyBorder="1"/>
    <x:xf numFmtId="0" fontId="3" fillId="4" borderId="13" xfId="49" applyFont="1" applyFill="1" applyBorder="1"/>
    <x:xf numFmtId="0" fontId="3" fillId="4" borderId="14" xfId="49" applyFont="1" applyFill="1" applyBorder="1"/>
    <x:xf numFmtId="0" fontId="0" fillId="0" borderId="15" xfId="49" applyFont="1" applyBorder="1"/>
    <x:xf numFmtId="0" fontId="0" fillId="0" borderId="16" xfId="49" applyFont="1" applyBorder="1"/>
    <x:xf numFmtId="0" fontId="0" fillId="0" borderId="17" xfId="49" applyFont="1" applyBorder="1"/>
    <x:xf numFmtId="0" fontId="0" fillId="0" borderId="18" xfId="49" applyFont="1" applyBorder="1"/>
    <x:xf numFmtId="0" fontId="30" fillId="0" borderId="0" xfId="0" applyNumberFormat="1" applyFont="1" applyFill="1" applyBorder="1"/>
    <x:xf numFmtId="0" fontId="30" fillId="41" borderId="0" xfId="0" applyNumberFormat="1" applyFont="1" applyFill="1" applyBorder="1"/>
    <x:xf numFmtId="0" fontId="31" fillId="41" borderId="0" xfId="0" applyNumberFormat="1" applyFont="1" applyFill="1" applyBorder="1"/>
    <x:xf numFmtId="0" fontId="30" fillId="0" borderId="0" xfId="0" applyNumberFormat="1" applyFont="1" applyFill="1" applyBorder="1" applyAlignment="1">
      <x:alignment wrapText="1"/>
    </x:xf>
    <x:xf numFmtId="200" fontId="30" fillId="0" borderId="0" xfId="0" applyNumberFormat="1" applyFont="1" applyFill="1" applyBorder="1" applyAlignment="1">
      <x:alignment wrapText="1"/>
    </x:xf>
    <x:xf numFmtId="0" fontId="30" fillId="42" borderId="0" xfId="0" applyNumberFormat="1" applyFont="1" applyFill="1" applyBorder="1"/>
    <x:xf numFmtId="0" fontId="31" fillId="42" borderId="0" xfId="0" applyNumberFormat="1" applyFont="1" applyFill="1" applyBorder="1"/>
    <x:xf numFmtId="0" fontId="30" fillId="43" borderId="0" xfId="0" applyNumberFormat="1" applyFont="1" applyFill="1" applyBorder="1"/>
    <x:xf numFmtId="0" fontId="31" fillId="43" borderId="0" xfId="0" applyNumberFormat="1" applyFont="1" applyFill="1" applyBorder="1"/>
    <x:xf numFmtId="0" fontId="31" fillId="43" borderId="0" xfId="0" applyNumberFormat="1" applyFont="1" applyFill="1" applyBorder="1" applyAlignment="1">
      <x:alignment wrapText="1"/>
    </x:xf>
    <x:xf numFmtId="200" fontId="30" fillId="0" borderId="0" xfId="0" applyNumberFormat="1" applyFont="1" applyFill="1" applyBorder="1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335dbfbf2c4388" /><Relationship Type="http://schemas.openxmlformats.org/officeDocument/2006/relationships/theme" Target="/xl/theme/theme1.xml" Id="R1c713148db7144b7" /><Relationship Type="http://schemas.openxmlformats.org/officeDocument/2006/relationships/sharedStrings" Target="/xl/sharedStrings.xml" Id="Rac642b891c3b4be2" /><Relationship Type="http://schemas.openxmlformats.org/officeDocument/2006/relationships/worksheet" Target="/xl/worksheets/sheet1.xml" Id="Rf0dc4a7ed0134759" /><Relationship Type="http://schemas.openxmlformats.org/officeDocument/2006/relationships/worksheet" Target="/xl/worksheets/sheet2.xml" Id="Rff577cd27a8747d5" /><Relationship Type="http://schemas.openxmlformats.org/officeDocument/2006/relationships/worksheet" Target="/xl/worksheets/sheet3.xml" Id="R507cbc7847034c55" /><Relationship Type="http://schemas.openxmlformats.org/officeDocument/2006/relationships/worksheet" Target="/xl/worksheets/sheet4.xml" Id="R252d813e13354302" /><Relationship Type="http://schemas.openxmlformats.org/officeDocument/2006/relationships/worksheet" Target="/xl/worksheets/sheet5.xml" Id="R16b6fc2ef03f407c" /><Relationship Type="http://schemas.openxmlformats.org/officeDocument/2006/relationships/worksheet" Target="/xl/worksheets/sheet6.xml" Id="R8c2707ac89eb4bed" /><Relationship Type="http://schemas.openxmlformats.org/officeDocument/2006/relationships/worksheet" Target="/xl/worksheets/sheet7.xml" Id="R07aa6425bfea45df" /><Relationship Type="http://schemas.openxmlformats.org/officeDocument/2006/relationships/worksheet" Target="/xl/worksheets/sheet8.xml" Id="Rbfdca2c6a4f942c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16e7240139e4808" /><Relationship Type="http://schemas.openxmlformats.org/officeDocument/2006/relationships/chart" Target="/xl/drawings/charts/chart2.xml" Id="Rc891b39781934c24" /><Relationship Type="http://schemas.openxmlformats.org/officeDocument/2006/relationships/chart" Target="/xl/drawings/charts/chart3.xml" Id="R5b681f748bf747c6" /><Relationship Type="http://schemas.openxmlformats.org/officeDocument/2006/relationships/chart" Target="/xl/drawings/charts/chart4.xml" Id="R5d968486c8b7412c" /><Relationship Type="http://schemas.openxmlformats.org/officeDocument/2006/relationships/chart" Target="/xl/drawings/charts/chart5.xml" Id="R4a78765d27b84dfb" /><Relationship Type="http://schemas.openxmlformats.org/officeDocument/2006/relationships/chart" Target="/xl/drawings/charts/chart6.xml" Id="R502f041e8eee4993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(a) Qwen2.5-VL-7B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"Baseline - SD"</c:f>
              <c:strCache>
                <c:ptCount val="1"/>
                <c:pt idx="0">
                  <c:v>Baseline - SD</c:v>
                </c:pt>
              </c:strCache>
            </c:strRef>
          </c:tx>
          <c:spPr>
            <a:ln xmlns:a="http://schemas.openxmlformats.org/drawingml/2006/main" w="9525">
              <a:solidFill>
                <a:srgbClr val="BFBFBF"/>
              </a:solidFill>
              <a:prstDash val="dot"/>
            </a:ln>
          </c:spPr>
          <c:marker>
            <c:symbol val="none"/>
          </c:marker>
          <c:dLbls>
            <c:delete val="1"/>
          </c:dLbls>
          <c:cat>
            <c:numRef>
              <c:f>Chart_Source!$A$2:$A$7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Chart_Source!$B$2:$B$7</c:f>
              <c:numCache>
                <c:formatCode>0.00</c:formatCode>
                <c:ptCount val="6"/>
                <c:pt idx="0">
                  <c:v>95.12</c:v>
                </c:pt>
                <c:pt idx="1">
                  <c:v>92.9</c:v>
                </c:pt>
                <c:pt idx="2">
                  <c:v>83.31</c:v>
                </c:pt>
                <c:pt idx="3">
                  <c:v>81.92</c:v>
                </c:pt>
                <c:pt idx="4">
                  <c:v>69.76</c:v>
                </c:pt>
                <c:pt idx="5">
                  <c:v>61.07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"Baseline + SD"</c:f>
              <c:strCache>
                <c:ptCount val="1"/>
                <c:pt idx="0">
                  <c:v>Baseline + SD</c:v>
                </c:pt>
              </c:strCache>
            </c:strRef>
          </c:tx>
          <c:spPr>
            <a:ln xmlns:a="http://schemas.openxmlformats.org/drawingml/2006/main" w="9525">
              <a:solidFill>
                <a:srgbClr val="BFBFBF"/>
              </a:solidFill>
              <a:prstDash val="dot"/>
            </a:ln>
          </c:spPr>
          <c:marker>
            <c:symbol val="none"/>
          </c:marker>
          <c:dLbls>
            <c:delete val="1"/>
          </c:dLbls>
          <c:cat>
            <c:numRef>
              <c:f>Chart_Source!$A$2:$A$7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Chart_Source!$C$2:$C$7</c:f>
              <c:numCache>
                <c:formatCode>0.00</c:formatCode>
                <c:ptCount val="6"/>
                <c:pt idx="0">
                  <c:v>99.24</c:v>
                </c:pt>
                <c:pt idx="1">
                  <c:v>97.6</c:v>
                </c:pt>
                <c:pt idx="2">
                  <c:v>86.45</c:v>
                </c:pt>
                <c:pt idx="3">
                  <c:v>83.96</c:v>
                </c:pt>
                <c:pt idx="4">
                  <c:v>71.04</c:v>
                </c:pt>
                <c:pt idx="5">
                  <c:v>62.53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"Tree - SD"</c:f>
              <c:strCache>
                <c:ptCount val="1"/>
                <c:pt idx="0">
                  <c:v>Tree - SD</c:v>
                </c:pt>
              </c:strCache>
            </c:strRef>
          </c:tx>
          <c:spPr>
            <a:ln xmlns:a="http://schemas.openxmlformats.org/drawingml/2006/main" w="9525">
              <a:solidFill>
                <a:srgbClr val="F4A6A6"/>
              </a:solidFill>
              <a:prstDash val="dot"/>
            </a:ln>
          </c:spPr>
          <c:marker>
            <c:symbol val="none"/>
          </c:marker>
          <c:dLbls>
            <c:delete val="1"/>
          </c:dLbls>
          <c:cat>
            <c:numRef>
              <c:f>Chart_Source!$A$2:$A$7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Chart_Source!$D$2:$D$7</c:f>
              <c:numCache>
                <c:formatCode>0.00</c:formatCode>
                <c:ptCount val="6"/>
                <c:pt idx="0">
                  <c:v>95.6</c:v>
                </c:pt>
                <c:pt idx="1">
                  <c:v>94.11</c:v>
                </c:pt>
                <c:pt idx="2">
                  <c:v>88.21</c:v>
                </c:pt>
                <c:pt idx="3">
                  <c:v>84.26</c:v>
                </c:pt>
                <c:pt idx="4">
                  <c:v>77.55</c:v>
                </c:pt>
                <c:pt idx="5">
                  <c:v>70.89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"Tree + SD"</c:f>
              <c:strCache>
                <c:ptCount val="1"/>
                <c:pt idx="0">
                  <c:v>Tree + SD</c:v>
                </c:pt>
              </c:strCache>
            </c:strRef>
          </c:tx>
          <c:spPr>
            <a:ln xmlns:a="http://schemas.openxmlformats.org/drawingml/2006/main" w="9525">
              <a:solidFill>
                <a:srgbClr val="F4A6A6"/>
              </a:solidFill>
              <a:prstDash val="dot"/>
            </a:ln>
          </c:spPr>
          <c:marker>
            <c:symbol val="none"/>
          </c:marker>
          <c:dLbls>
            <c:delete val="1"/>
          </c:dLbls>
          <c:cat>
            <c:numRef>
              <c:f>Chart_Source!$A$2:$A$7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Chart_Source!$E$2:$E$7</c:f>
              <c:numCache>
                <c:formatCode>0.00</c:formatCode>
                <c:ptCount val="6"/>
                <c:pt idx="0">
                  <c:v>99.94</c:v>
                </c:pt>
                <c:pt idx="1">
                  <c:v>97.99</c:v>
                </c:pt>
                <c:pt idx="2">
                  <c:v>91.79</c:v>
                </c:pt>
                <c:pt idx="3">
                  <c:v>86.6</c:v>
                </c:pt>
                <c:pt idx="4">
                  <c:v>78.75</c:v>
                </c:pt>
                <c:pt idx="5">
                  <c:v>72.25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"Baseline"</c:f>
              <c:strCache>
                <c:ptCount val="1"/>
                <c:pt idx="0">
                  <c:v>Baseline</c:v>
                </c:pt>
              </c:strCache>
            </c:strRef>
          </c:tx>
          <c:spPr>
            <a:ln xmlns:a="http://schemas.openxmlformats.org/drawingml/2006/main" w="14288">
              <a:solidFill>
                <a:srgbClr val="8C8C8C"/>
              </a:solidFill>
              <a:prstDash val="dash"/>
            </a:ln>
          </c:spPr>
          <c:marker>
            <c:symbol val="none"/>
          </c:marker>
          <c:dLbls>
            <c:delete val="1"/>
          </c:dLbls>
          <c:cat>
            <c:numRef>
              <c:f>Chart_Source!$A$2:$A$7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Chart_Source!$F$2:$F$7</c:f>
              <c:numCache>
                <c:formatCode>0.00</c:formatCode>
                <c:ptCount val="6"/>
                <c:pt idx="0">
                  <c:v>97.18</c:v>
                </c:pt>
                <c:pt idx="1">
                  <c:v>95.25</c:v>
                </c:pt>
                <c:pt idx="2">
                  <c:v>84.88</c:v>
                </c:pt>
                <c:pt idx="3">
                  <c:v>82.94</c:v>
                </c:pt>
                <c:pt idx="4">
                  <c:v>70.4</c:v>
                </c:pt>
                <c:pt idx="5">
                  <c:v>61.8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"Tree Inference"</c:f>
              <c:strCache>
                <c:ptCount val="1"/>
                <c:pt idx="0">
                  <c:v>Tree Inference</c:v>
                </c:pt>
              </c:strCache>
            </c:strRef>
          </c:tx>
          <c:spPr>
            <a:ln xmlns:a="http://schemas.openxmlformats.org/drawingml/2006/main" w="21431">
              <a:solidFill>
                <a:srgbClr val="E62929"/>
              </a:solidFill>
              <a:prstDash val="solid"/>
            </a:ln>
          </c:spPr>
          <c:marker>
            <c:symbol val="none"/>
          </c:marker>
          <c:dLbls>
            <c:delete val="1"/>
          </c:dLbls>
          <c:cat>
            <c:numRef>
              <c:f>Chart_Source!$A$2:$A$7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Chart_Source!$G$2:$G$7</c:f>
              <c:numCache>
                <c:formatCode>0.00</c:formatCode>
                <c:ptCount val="6"/>
                <c:pt idx="0">
                  <c:v>97.77</c:v>
                </c:pt>
                <c:pt idx="1">
                  <c:v>96.05</c:v>
                </c:pt>
                <c:pt idx="2">
                  <c:v>90</c:v>
                </c:pt>
                <c:pt idx="3">
                  <c:v>85.43</c:v>
                </c:pt>
                <c:pt idx="4">
                  <c:v>78.15</c:v>
                </c:pt>
                <c:pt idx="5">
                  <c:v>71.57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Number of Candidate Classes (N)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 u="none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0" sourceLinked="1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6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Accuracy (%)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 u="none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0.00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6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(b) Qwen3-VL-2B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"Baseline - SD"</c:f>
              <c:strCache>
                <c:ptCount val="1"/>
                <c:pt idx="0">
                  <c:v>Baseline - SD</c:v>
                </c:pt>
              </c:strCache>
            </c:strRef>
          </c:tx>
          <c:spPr>
            <a:ln xmlns:a="http://schemas.openxmlformats.org/drawingml/2006/main" w="9525">
              <a:solidFill>
                <a:srgbClr val="BFBFBF"/>
              </a:solidFill>
              <a:prstDash val="dot"/>
            </a:ln>
          </c:spPr>
          <c:marker>
            <c:symbol val="none"/>
          </c:marker>
          <c:dLbls>
            <c:delete val="1"/>
          </c:dLbls>
          <c:cat>
            <c:numRef>
              <c:f>Chart_Source!$A$11:$A$16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Chart_Source!$B$11:$B$16</c:f>
              <c:numCache>
                <c:formatCode>0.00</c:formatCode>
                <c:ptCount val="6"/>
                <c:pt idx="0">
                  <c:v>93.95</c:v>
                </c:pt>
                <c:pt idx="1">
                  <c:v>88.02</c:v>
                </c:pt>
                <c:pt idx="2">
                  <c:v>73.71</c:v>
                </c:pt>
                <c:pt idx="3">
                  <c:v>65.17</c:v>
                </c:pt>
                <c:pt idx="4">
                  <c:v>52.35</c:v>
                </c:pt>
                <c:pt idx="5">
                  <c:v>40.18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"Baseline + SD"</c:f>
              <c:strCache>
                <c:ptCount val="1"/>
                <c:pt idx="0">
                  <c:v>Baseline + SD</c:v>
                </c:pt>
              </c:strCache>
            </c:strRef>
          </c:tx>
          <c:spPr>
            <a:ln xmlns:a="http://schemas.openxmlformats.org/drawingml/2006/main" w="9525">
              <a:solidFill>
                <a:srgbClr val="BFBFBF"/>
              </a:solidFill>
              <a:prstDash val="dot"/>
            </a:ln>
          </c:spPr>
          <c:marker>
            <c:symbol val="none"/>
          </c:marker>
          <c:dLbls>
            <c:delete val="1"/>
          </c:dLbls>
          <c:cat>
            <c:numRef>
              <c:f>Chart_Source!$A$11:$A$16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Chart_Source!$C$11:$C$16</c:f>
              <c:numCache>
                <c:formatCode>0.00</c:formatCode>
                <c:ptCount val="6"/>
                <c:pt idx="0">
                  <c:v>97.69</c:v>
                </c:pt>
                <c:pt idx="1">
                  <c:v>91.7</c:v>
                </c:pt>
                <c:pt idx="2">
                  <c:v>76.91</c:v>
                </c:pt>
                <c:pt idx="3">
                  <c:v>67.39</c:v>
                </c:pt>
                <c:pt idx="4">
                  <c:v>53.89</c:v>
                </c:pt>
                <c:pt idx="5">
                  <c:v>40.9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"Tree - SD"</c:f>
              <c:strCache>
                <c:ptCount val="1"/>
                <c:pt idx="0">
                  <c:v>Tree - SD</c:v>
                </c:pt>
              </c:strCache>
            </c:strRef>
          </c:tx>
          <c:spPr>
            <a:ln xmlns:a="http://schemas.openxmlformats.org/drawingml/2006/main" w="9525">
              <a:solidFill>
                <a:srgbClr val="F4A6A6"/>
              </a:solidFill>
              <a:prstDash val="dot"/>
            </a:ln>
          </c:spPr>
          <c:marker>
            <c:symbol val="none"/>
          </c:marker>
          <c:dLbls>
            <c:delete val="1"/>
          </c:dLbls>
          <c:cat>
            <c:numRef>
              <c:f>Chart_Source!$A$11:$A$16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Chart_Source!$D$11:$D$16</c:f>
              <c:numCache>
                <c:formatCode>0.00</c:formatCode>
                <c:ptCount val="6"/>
                <c:pt idx="0">
                  <c:v>91.06</c:v>
                </c:pt>
                <c:pt idx="1">
                  <c:v>87.65</c:v>
                </c:pt>
                <c:pt idx="2">
                  <c:v>74.86</c:v>
                </c:pt>
                <c:pt idx="3">
                  <c:v>65.75</c:v>
                </c:pt>
                <c:pt idx="4">
                  <c:v>54.57</c:v>
                </c:pt>
                <c:pt idx="5">
                  <c:v>51.04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"Tree + SD"</c:f>
              <c:strCache>
                <c:ptCount val="1"/>
                <c:pt idx="0">
                  <c:v>Tree + SD</c:v>
                </c:pt>
              </c:strCache>
            </c:strRef>
          </c:tx>
          <c:spPr>
            <a:ln xmlns:a="http://schemas.openxmlformats.org/drawingml/2006/main" w="9525">
              <a:solidFill>
                <a:srgbClr val="F4A6A6"/>
              </a:solidFill>
              <a:prstDash val="dot"/>
            </a:ln>
          </c:spPr>
          <c:marker>
            <c:symbol val="none"/>
          </c:marker>
          <c:dLbls>
            <c:delete val="1"/>
          </c:dLbls>
          <c:cat>
            <c:numRef>
              <c:f>Chart_Source!$A$11:$A$16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Chart_Source!$E$11:$E$16</c:f>
              <c:numCache>
                <c:formatCode>0.00</c:formatCode>
                <c:ptCount val="6"/>
                <c:pt idx="0">
                  <c:v>94.76</c:v>
                </c:pt>
                <c:pt idx="1">
                  <c:v>90.65</c:v>
                </c:pt>
                <c:pt idx="2">
                  <c:v>77.52</c:v>
                </c:pt>
                <c:pt idx="3">
                  <c:v>68.43</c:v>
                </c:pt>
                <c:pt idx="4">
                  <c:v>55.79</c:v>
                </c:pt>
                <c:pt idx="5">
                  <c:v>51.68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"Baseline"</c:f>
              <c:strCache>
                <c:ptCount val="1"/>
                <c:pt idx="0">
                  <c:v>Baseline</c:v>
                </c:pt>
              </c:strCache>
            </c:strRef>
          </c:tx>
          <c:spPr>
            <a:ln xmlns:a="http://schemas.openxmlformats.org/drawingml/2006/main" w="14288">
              <a:solidFill>
                <a:srgbClr val="8C8C8C"/>
              </a:solidFill>
              <a:prstDash val="dash"/>
            </a:ln>
          </c:spPr>
          <c:marker>
            <c:symbol val="none"/>
          </c:marker>
          <c:dLbls>
            <c:delete val="1"/>
          </c:dLbls>
          <c:cat>
            <c:numRef>
              <c:f>Chart_Source!$A$11:$A$16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Chart_Source!$F$11:$F$16</c:f>
              <c:numCache>
                <c:formatCode>0.00</c:formatCode>
                <c:ptCount val="6"/>
                <c:pt idx="0">
                  <c:v>95.82</c:v>
                </c:pt>
                <c:pt idx="1">
                  <c:v>89.86</c:v>
                </c:pt>
                <c:pt idx="2">
                  <c:v>75.31</c:v>
                </c:pt>
                <c:pt idx="3">
                  <c:v>66.28</c:v>
                </c:pt>
                <c:pt idx="4">
                  <c:v>53.12</c:v>
                </c:pt>
                <c:pt idx="5">
                  <c:v>40.54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"Tree Inference"</c:f>
              <c:strCache>
                <c:ptCount val="1"/>
                <c:pt idx="0">
                  <c:v>Tree Inference</c:v>
                </c:pt>
              </c:strCache>
            </c:strRef>
          </c:tx>
          <c:spPr>
            <a:ln xmlns:a="http://schemas.openxmlformats.org/drawingml/2006/main" w="21431">
              <a:solidFill>
                <a:srgbClr val="E62929"/>
              </a:solidFill>
              <a:prstDash val="solid"/>
            </a:ln>
          </c:spPr>
          <c:marker>
            <c:symbol val="none"/>
          </c:marker>
          <c:dLbls>
            <c:delete val="1"/>
          </c:dLbls>
          <c:cat>
            <c:numRef>
              <c:f>Chart_Source!$A$11:$A$16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Chart_Source!$G$11:$G$16</c:f>
              <c:numCache>
                <c:formatCode>0.00</c:formatCode>
                <c:ptCount val="6"/>
                <c:pt idx="0">
                  <c:v>92.91</c:v>
                </c:pt>
                <c:pt idx="1">
                  <c:v>89.15</c:v>
                </c:pt>
                <c:pt idx="2">
                  <c:v>76.19</c:v>
                </c:pt>
                <c:pt idx="3">
                  <c:v>67.09</c:v>
                </c:pt>
                <c:pt idx="4">
                  <c:v>55.18</c:v>
                </c:pt>
                <c:pt idx="5">
                  <c:v>51.36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Number of Candidate Classes (N)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 u="none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0" sourceLinked="1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6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Accuracy (%)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 u="none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0.00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6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(c) Qwen3-VL-8B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"Baseline - SD"</c:f>
              <c:strCache>
                <c:ptCount val="1"/>
                <c:pt idx="0">
                  <c:v>Baseline - SD</c:v>
                </c:pt>
              </c:strCache>
            </c:strRef>
          </c:tx>
          <c:spPr>
            <a:ln xmlns:a="http://schemas.openxmlformats.org/drawingml/2006/main" w="9525">
              <a:solidFill>
                <a:srgbClr val="BFBFBF"/>
              </a:solidFill>
              <a:prstDash val="dot"/>
            </a:ln>
          </c:spPr>
          <c:marker>
            <c:symbol val="none"/>
          </c:marker>
          <c:dLbls>
            <c:delete val="1"/>
          </c:dLbls>
          <c:cat>
            <c:numRef>
              <c:f>Chart_Source!$A$20:$A$25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Chart_Source!$B$20:$B$25</c:f>
              <c:numCache>
                <c:formatCode>0.00</c:formatCode>
                <c:ptCount val="6"/>
                <c:pt idx="0">
                  <c:v>94.96</c:v>
                </c:pt>
                <c:pt idx="1">
                  <c:v>94.97</c:v>
                </c:pt>
                <c:pt idx="2">
                  <c:v>90.16</c:v>
                </c:pt>
                <c:pt idx="3">
                  <c:v>83.5</c:v>
                </c:pt>
                <c:pt idx="4">
                  <c:v>76.07</c:v>
                </c:pt>
                <c:pt idx="5">
                  <c:v>67.18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"Baseline + SD"</c:f>
              <c:strCache>
                <c:ptCount val="1"/>
                <c:pt idx="0">
                  <c:v>Baseline + SD</c:v>
                </c:pt>
              </c:strCache>
            </c:strRef>
          </c:tx>
          <c:spPr>
            <a:ln xmlns:a="http://schemas.openxmlformats.org/drawingml/2006/main" w="9525">
              <a:solidFill>
                <a:srgbClr val="BFBFBF"/>
              </a:solidFill>
              <a:prstDash val="dot"/>
            </a:ln>
          </c:spPr>
          <c:marker>
            <c:symbol val="none"/>
          </c:marker>
          <c:dLbls>
            <c:delete val="1"/>
          </c:dLbls>
          <c:cat>
            <c:numRef>
              <c:f>Chart_Source!$A$20:$A$25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Chart_Source!$C$20:$C$25</c:f>
              <c:numCache>
                <c:formatCode>0.00</c:formatCode>
                <c:ptCount val="6"/>
                <c:pt idx="0">
                  <c:v>99.14</c:v>
                </c:pt>
                <c:pt idx="1">
                  <c:v>98.63</c:v>
                </c:pt>
                <c:pt idx="2">
                  <c:v>91.88</c:v>
                </c:pt>
                <c:pt idx="3">
                  <c:v>84.98</c:v>
                </c:pt>
                <c:pt idx="4">
                  <c:v>77.05</c:v>
                </c:pt>
                <c:pt idx="5">
                  <c:v>67.94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"Tree - SD"</c:f>
              <c:strCache>
                <c:ptCount val="1"/>
                <c:pt idx="0">
                  <c:v>Tree - SD</c:v>
                </c:pt>
              </c:strCache>
            </c:strRef>
          </c:tx>
          <c:spPr>
            <a:ln xmlns:a="http://schemas.openxmlformats.org/drawingml/2006/main" w="9525">
              <a:solidFill>
                <a:srgbClr val="F4A6A6"/>
              </a:solidFill>
              <a:prstDash val="dot"/>
            </a:ln>
          </c:spPr>
          <c:marker>
            <c:symbol val="none"/>
          </c:marker>
          <c:dLbls>
            <c:delete val="1"/>
          </c:dLbls>
          <c:cat>
            <c:numRef>
              <c:f>Chart_Source!$A$20:$A$25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Chart_Source!$D$20:$D$25</c:f>
              <c:numCache>
                <c:formatCode>0.00</c:formatCode>
                <c:ptCount val="6"/>
                <c:pt idx="0">
                  <c:v>95.28</c:v>
                </c:pt>
                <c:pt idx="1">
                  <c:v>95.69</c:v>
                </c:pt>
                <c:pt idx="2">
                  <c:v>90.13</c:v>
                </c:pt>
                <c:pt idx="3">
                  <c:v>86.03</c:v>
                </c:pt>
                <c:pt idx="4">
                  <c:v>78.08</c:v>
                </c:pt>
                <c:pt idx="5">
                  <c:v>70.72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"Tree + SD"</c:f>
              <c:strCache>
                <c:ptCount val="1"/>
                <c:pt idx="0">
                  <c:v>Tree + SD</c:v>
                </c:pt>
              </c:strCache>
            </c:strRef>
          </c:tx>
          <c:spPr>
            <a:ln xmlns:a="http://schemas.openxmlformats.org/drawingml/2006/main" w="9525">
              <a:solidFill>
                <a:srgbClr val="F4A6A6"/>
              </a:solidFill>
              <a:prstDash val="dot"/>
            </a:ln>
          </c:spPr>
          <c:marker>
            <c:symbol val="none"/>
          </c:marker>
          <c:dLbls>
            <c:delete val="1"/>
          </c:dLbls>
          <c:cat>
            <c:numRef>
              <c:f>Chart_Source!$A$20:$A$25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Chart_Source!$E$20:$E$25</c:f>
              <c:numCache>
                <c:formatCode>0.00</c:formatCode>
                <c:ptCount val="6"/>
                <c:pt idx="0">
                  <c:v>98.9</c:v>
                </c:pt>
                <c:pt idx="1">
                  <c:v>99.55</c:v>
                </c:pt>
                <c:pt idx="2">
                  <c:v>93.45</c:v>
                </c:pt>
                <c:pt idx="3">
                  <c:v>87.21</c:v>
                </c:pt>
                <c:pt idx="4">
                  <c:v>79.04</c:v>
                </c:pt>
                <c:pt idx="5">
                  <c:v>71.6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"Baseline"</c:f>
              <c:strCache>
                <c:ptCount val="1"/>
                <c:pt idx="0">
                  <c:v>Baseline</c:v>
                </c:pt>
              </c:strCache>
            </c:strRef>
          </c:tx>
          <c:spPr>
            <a:ln xmlns:a="http://schemas.openxmlformats.org/drawingml/2006/main" w="14288">
              <a:solidFill>
                <a:srgbClr val="8C8C8C"/>
              </a:solidFill>
              <a:prstDash val="dash"/>
            </a:ln>
          </c:spPr>
          <c:marker>
            <c:symbol val="none"/>
          </c:marker>
          <c:dLbls>
            <c:delete val="1"/>
          </c:dLbls>
          <c:cat>
            <c:numRef>
              <c:f>Chart_Source!$A$20:$A$25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Chart_Source!$F$20:$F$25</c:f>
              <c:numCache>
                <c:formatCode>0.00</c:formatCode>
                <c:ptCount val="6"/>
                <c:pt idx="0">
                  <c:v>97.05</c:v>
                </c:pt>
                <c:pt idx="1">
                  <c:v>96.8</c:v>
                </c:pt>
                <c:pt idx="2">
                  <c:v>91.02</c:v>
                </c:pt>
                <c:pt idx="3">
                  <c:v>84.24</c:v>
                </c:pt>
                <c:pt idx="4">
                  <c:v>76.56</c:v>
                </c:pt>
                <c:pt idx="5">
                  <c:v>67.56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"Tree Inference"</c:f>
              <c:strCache>
                <c:ptCount val="1"/>
                <c:pt idx="0">
                  <c:v>Tree Inference</c:v>
                </c:pt>
              </c:strCache>
            </c:strRef>
          </c:tx>
          <c:spPr>
            <a:ln xmlns:a="http://schemas.openxmlformats.org/drawingml/2006/main" w="21431">
              <a:solidFill>
                <a:srgbClr val="E62929"/>
              </a:solidFill>
              <a:prstDash val="solid"/>
            </a:ln>
          </c:spPr>
          <c:marker>
            <c:symbol val="none"/>
          </c:marker>
          <c:dLbls>
            <c:delete val="1"/>
          </c:dLbls>
          <c:cat>
            <c:numRef>
              <c:f>Chart_Source!$A$20:$A$25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Chart_Source!$G$20:$G$25</c:f>
              <c:numCache>
                <c:formatCode>0.00</c:formatCode>
                <c:ptCount val="6"/>
                <c:pt idx="0">
                  <c:v>97.09</c:v>
                </c:pt>
                <c:pt idx="1">
                  <c:v>97.62</c:v>
                </c:pt>
                <c:pt idx="2">
                  <c:v>91.79</c:v>
                </c:pt>
                <c:pt idx="3">
                  <c:v>86.62</c:v>
                </c:pt>
                <c:pt idx="4">
                  <c:v>78.56</c:v>
                </c:pt>
                <c:pt idx="5">
                  <c:v>71.16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Number of Candidate Classes (N)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 u="none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0" sourceLinked="1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6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Accuracy (%)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 u="none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0.00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6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(d) DeepSeek-VL-7B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"Baseline - SD"</c:f>
              <c:strCache>
                <c:ptCount val="1"/>
                <c:pt idx="0">
                  <c:v>Baseline - SD</c:v>
                </c:pt>
              </c:strCache>
            </c:strRef>
          </c:tx>
          <c:spPr>
            <a:ln xmlns:a="http://schemas.openxmlformats.org/drawingml/2006/main" w="9525">
              <a:solidFill>
                <a:srgbClr val="BFBFBF"/>
              </a:solidFill>
              <a:prstDash val="dot"/>
            </a:ln>
          </c:spPr>
          <c:marker>
            <c:symbol val="none"/>
          </c:marker>
          <c:dLbls>
            <c:delete val="1"/>
          </c:dLbls>
          <c:cat>
            <c:numRef>
              <c:f>Chart_Source!$A$29:$A$34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Chart_Source!$B$29:$B$34</c:f>
              <c:numCache>
                <c:formatCode>0.00</c:formatCode>
                <c:ptCount val="6"/>
                <c:pt idx="0">
                  <c:v>66.85</c:v>
                </c:pt>
                <c:pt idx="1">
                  <c:v>47.7</c:v>
                </c:pt>
                <c:pt idx="2">
                  <c:v>16.97</c:v>
                </c:pt>
                <c:pt idx="3">
                  <c:v>6.49</c:v>
                </c:pt>
                <c:pt idx="4">
                  <c:v>1.72</c:v>
                </c:pt>
                <c:pt idx="5">
                  <c:v>0.17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"Baseline + SD"</c:f>
              <c:strCache>
                <c:ptCount val="1"/>
                <c:pt idx="0">
                  <c:v>Baseline + SD</c:v>
                </c:pt>
              </c:strCache>
            </c:strRef>
          </c:tx>
          <c:spPr>
            <a:ln xmlns:a="http://schemas.openxmlformats.org/drawingml/2006/main" w="9525">
              <a:solidFill>
                <a:srgbClr val="BFBFBF"/>
              </a:solidFill>
              <a:prstDash val="dot"/>
            </a:ln>
          </c:spPr>
          <c:marker>
            <c:symbol val="none"/>
          </c:marker>
          <c:dLbls>
            <c:delete val="1"/>
          </c:dLbls>
          <c:cat>
            <c:numRef>
              <c:f>Chart_Source!$A$29:$A$34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Chart_Source!$C$29:$C$34</c:f>
              <c:numCache>
                <c:formatCode>0.00</c:formatCode>
                <c:ptCount val="6"/>
                <c:pt idx="0">
                  <c:v>70.63</c:v>
                </c:pt>
                <c:pt idx="1">
                  <c:v>50.3</c:v>
                </c:pt>
                <c:pt idx="2">
                  <c:v>18.71</c:v>
                </c:pt>
                <c:pt idx="3">
                  <c:v>7.93</c:v>
                </c:pt>
                <c:pt idx="4">
                  <c:v>2.68</c:v>
                </c:pt>
                <c:pt idx="5">
                  <c:v>0.83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"Tree - SD"</c:f>
              <c:strCache>
                <c:ptCount val="1"/>
                <c:pt idx="0">
                  <c:v>Tree - SD</c:v>
                </c:pt>
              </c:strCache>
            </c:strRef>
          </c:tx>
          <c:spPr>
            <a:ln xmlns:a="http://schemas.openxmlformats.org/drawingml/2006/main" w="9525">
              <a:solidFill>
                <a:srgbClr val="F4A6A6"/>
              </a:solidFill>
              <a:prstDash val="dot"/>
            </a:ln>
          </c:spPr>
          <c:marker>
            <c:symbol val="none"/>
          </c:marker>
          <c:dLbls>
            <c:delete val="1"/>
          </c:dLbls>
          <c:cat>
            <c:numRef>
              <c:f>Chart_Source!$A$29:$A$34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Chart_Source!$D$29:$D$34</c:f>
              <c:numCache>
                <c:formatCode>0.00</c:formatCode>
                <c:ptCount val="6"/>
                <c:pt idx="0">
                  <c:v>65.3</c:v>
                </c:pt>
                <c:pt idx="1">
                  <c:v>54.65</c:v>
                </c:pt>
                <c:pt idx="2">
                  <c:v>38.53</c:v>
                </c:pt>
                <c:pt idx="3">
                  <c:v>30.81</c:v>
                </c:pt>
                <c:pt idx="4">
                  <c:v>21.08</c:v>
                </c:pt>
                <c:pt idx="5">
                  <c:v>18.64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"Tree + SD"</c:f>
              <c:strCache>
                <c:ptCount val="1"/>
                <c:pt idx="0">
                  <c:v>Tree + SD</c:v>
                </c:pt>
              </c:strCache>
            </c:strRef>
          </c:tx>
          <c:spPr>
            <a:ln xmlns:a="http://schemas.openxmlformats.org/drawingml/2006/main" w="9525">
              <a:solidFill>
                <a:srgbClr val="F4A6A6"/>
              </a:solidFill>
              <a:prstDash val="dot"/>
            </a:ln>
          </c:spPr>
          <c:marker>
            <c:symbol val="none"/>
          </c:marker>
          <c:dLbls>
            <c:delete val="1"/>
          </c:dLbls>
          <c:cat>
            <c:numRef>
              <c:f>Chart_Source!$A$29:$A$34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Chart_Source!$E$29:$E$34</c:f>
              <c:numCache>
                <c:formatCode>0.00</c:formatCode>
                <c:ptCount val="6"/>
                <c:pt idx="0">
                  <c:v>68.76</c:v>
                </c:pt>
                <c:pt idx="1">
                  <c:v>57.39</c:v>
                </c:pt>
                <c:pt idx="2">
                  <c:v>40.63</c:v>
                </c:pt>
                <c:pt idx="3">
                  <c:v>32.11</c:v>
                </c:pt>
                <c:pt idx="4">
                  <c:v>21.8</c:v>
                </c:pt>
                <c:pt idx="5">
                  <c:v>19.44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"Baseline"</c:f>
              <c:strCache>
                <c:ptCount val="1"/>
                <c:pt idx="0">
                  <c:v>Baseline</c:v>
                </c:pt>
              </c:strCache>
            </c:strRef>
          </c:tx>
          <c:spPr>
            <a:ln xmlns:a="http://schemas.openxmlformats.org/drawingml/2006/main" w="14288">
              <a:solidFill>
                <a:srgbClr val="8C8C8C"/>
              </a:solidFill>
              <a:prstDash val="dash"/>
            </a:ln>
          </c:spPr>
          <c:marker>
            <c:symbol val="none"/>
          </c:marker>
          <c:dLbls>
            <c:delete val="1"/>
          </c:dLbls>
          <c:cat>
            <c:numRef>
              <c:f>Chart_Source!$A$29:$A$34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Chart_Source!$F$29:$F$34</c:f>
              <c:numCache>
                <c:formatCode>0.00</c:formatCode>
                <c:ptCount val="6"/>
                <c:pt idx="0">
                  <c:v>68.74</c:v>
                </c:pt>
                <c:pt idx="1">
                  <c:v>49</c:v>
                </c:pt>
                <c:pt idx="2">
                  <c:v>17.84</c:v>
                </c:pt>
                <c:pt idx="3">
                  <c:v>7.21</c:v>
                </c:pt>
                <c:pt idx="4">
                  <c:v>2.2</c:v>
                </c:pt>
                <c:pt idx="5">
                  <c:v>0.5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"Tree Inference"</c:f>
              <c:strCache>
                <c:ptCount val="1"/>
                <c:pt idx="0">
                  <c:v>Tree Inference</c:v>
                </c:pt>
              </c:strCache>
            </c:strRef>
          </c:tx>
          <c:spPr>
            <a:ln xmlns:a="http://schemas.openxmlformats.org/drawingml/2006/main" w="21431">
              <a:solidFill>
                <a:srgbClr val="E62929"/>
              </a:solidFill>
              <a:prstDash val="solid"/>
            </a:ln>
          </c:spPr>
          <c:marker>
            <c:symbol val="none"/>
          </c:marker>
          <c:dLbls>
            <c:delete val="1"/>
          </c:dLbls>
          <c:cat>
            <c:numRef>
              <c:f>Chart_Source!$A$29:$A$34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Chart_Source!$G$29:$G$34</c:f>
              <c:numCache>
                <c:formatCode>0.00</c:formatCode>
                <c:ptCount val="6"/>
                <c:pt idx="0">
                  <c:v>67.03</c:v>
                </c:pt>
                <c:pt idx="1">
                  <c:v>56.02</c:v>
                </c:pt>
                <c:pt idx="2">
                  <c:v>39.58</c:v>
                </c:pt>
                <c:pt idx="3">
                  <c:v>31.46</c:v>
                </c:pt>
                <c:pt idx="4">
                  <c:v>21.44</c:v>
                </c:pt>
                <c:pt idx="5">
                  <c:v>19.04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Number of Candidate Classes (N)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 u="none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0" sourceLinked="1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6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Accuracy (%)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 u="none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0.00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6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(e) Kimi-VL-A3B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"Baseline - SD"</c:f>
              <c:strCache>
                <c:ptCount val="1"/>
                <c:pt idx="0">
                  <c:v>Baseline - SD</c:v>
                </c:pt>
              </c:strCache>
            </c:strRef>
          </c:tx>
          <c:spPr>
            <a:ln xmlns:a="http://schemas.openxmlformats.org/drawingml/2006/main" w="9525">
              <a:solidFill>
                <a:srgbClr val="BFBFBF"/>
              </a:solidFill>
              <a:prstDash val="dot"/>
            </a:ln>
          </c:spPr>
          <c:marker>
            <c:symbol val="none"/>
          </c:marker>
          <c:dLbls>
            <c:delete val="1"/>
          </c:dLbls>
          <c:cat>
            <c:numRef>
              <c:f>Chart_Source!$A$38:$A$43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Chart_Source!$B$38:$B$43</c:f>
              <c:numCache>
                <c:formatCode>0.00</c:formatCode>
                <c:ptCount val="6"/>
                <c:pt idx="0">
                  <c:v>92.46</c:v>
                </c:pt>
                <c:pt idx="1">
                  <c:v>86.09</c:v>
                </c:pt>
                <c:pt idx="2">
                  <c:v>62.39</c:v>
                </c:pt>
                <c:pt idx="3">
                  <c:v>51.54</c:v>
                </c:pt>
                <c:pt idx="4">
                  <c:v>40.25</c:v>
                </c:pt>
                <c:pt idx="5">
                  <c:v>35.43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"Baseline + SD"</c:f>
              <c:strCache>
                <c:ptCount val="1"/>
                <c:pt idx="0">
                  <c:v>Baseline + SD</c:v>
                </c:pt>
              </c:strCache>
            </c:strRef>
          </c:tx>
          <c:spPr>
            <a:ln xmlns:a="http://schemas.openxmlformats.org/drawingml/2006/main" w="9525">
              <a:solidFill>
                <a:srgbClr val="BFBFBF"/>
              </a:solidFill>
              <a:prstDash val="dot"/>
            </a:ln>
          </c:spPr>
          <c:marker>
            <c:symbol val="none"/>
          </c:marker>
          <c:dLbls>
            <c:delete val="1"/>
          </c:dLbls>
          <c:cat>
            <c:numRef>
              <c:f>Chart_Source!$A$38:$A$43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Chart_Source!$C$38:$C$43</c:f>
              <c:numCache>
                <c:formatCode>0.00</c:formatCode>
                <c:ptCount val="6"/>
                <c:pt idx="0">
                  <c:v>96.12</c:v>
                </c:pt>
                <c:pt idx="1">
                  <c:v>89.33</c:v>
                </c:pt>
                <c:pt idx="2">
                  <c:v>65.05</c:v>
                </c:pt>
                <c:pt idx="3">
                  <c:v>53.52</c:v>
                </c:pt>
                <c:pt idx="4">
                  <c:v>41.19</c:v>
                </c:pt>
                <c:pt idx="5">
                  <c:v>35.95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"Tree - SD"</c:f>
              <c:strCache>
                <c:ptCount val="1"/>
                <c:pt idx="0">
                  <c:v>Tree - SD</c:v>
                </c:pt>
              </c:strCache>
            </c:strRef>
          </c:tx>
          <c:spPr>
            <a:ln xmlns:a="http://schemas.openxmlformats.org/drawingml/2006/main" w="9525">
              <a:solidFill>
                <a:srgbClr val="F4A6A6"/>
              </a:solidFill>
              <a:prstDash val="dot"/>
            </a:ln>
          </c:spPr>
          <c:marker>
            <c:symbol val="none"/>
          </c:marker>
          <c:dLbls>
            <c:delete val="1"/>
          </c:dLbls>
          <c:cat>
            <c:numRef>
              <c:f>Chart_Source!$A$38:$A$43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Chart_Source!$D$38:$D$43</c:f>
              <c:numCache>
                <c:formatCode>0.00</c:formatCode>
                <c:ptCount val="6"/>
                <c:pt idx="0">
                  <c:v>87.13</c:v>
                </c:pt>
                <c:pt idx="1">
                  <c:v>82.59</c:v>
                </c:pt>
                <c:pt idx="2">
                  <c:v>64.61</c:v>
                </c:pt>
                <c:pt idx="3">
                  <c:v>55.78</c:v>
                </c:pt>
                <c:pt idx="4">
                  <c:v>46.1</c:v>
                </c:pt>
                <c:pt idx="5">
                  <c:v>42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"Tree + SD"</c:f>
              <c:strCache>
                <c:ptCount val="1"/>
                <c:pt idx="0">
                  <c:v>Tree + SD</c:v>
                </c:pt>
              </c:strCache>
            </c:strRef>
          </c:tx>
          <c:spPr>
            <a:ln xmlns:a="http://schemas.openxmlformats.org/drawingml/2006/main" w="9525">
              <a:solidFill>
                <a:srgbClr val="F4A6A6"/>
              </a:solidFill>
              <a:prstDash val="dot"/>
            </a:ln>
          </c:spPr>
          <c:marker>
            <c:symbol val="none"/>
          </c:marker>
          <c:dLbls>
            <c:delete val="1"/>
          </c:dLbls>
          <c:cat>
            <c:numRef>
              <c:f>Chart_Source!$A$38:$A$43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Chart_Source!$E$38:$E$43</c:f>
              <c:numCache>
                <c:formatCode>0.00</c:formatCode>
                <c:ptCount val="6"/>
                <c:pt idx="0">
                  <c:v>90.57</c:v>
                </c:pt>
                <c:pt idx="1">
                  <c:v>85.15</c:v>
                </c:pt>
                <c:pt idx="2">
                  <c:v>66.89</c:v>
                </c:pt>
                <c:pt idx="3">
                  <c:v>57.62</c:v>
                </c:pt>
                <c:pt idx="4">
                  <c:v>46.68</c:v>
                </c:pt>
                <c:pt idx="5">
                  <c:v>42.54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"Baseline"</c:f>
              <c:strCache>
                <c:ptCount val="1"/>
                <c:pt idx="0">
                  <c:v>Baseline</c:v>
                </c:pt>
              </c:strCache>
            </c:strRef>
          </c:tx>
          <c:spPr>
            <a:ln xmlns:a="http://schemas.openxmlformats.org/drawingml/2006/main" w="14288">
              <a:solidFill>
                <a:srgbClr val="8C8C8C"/>
              </a:solidFill>
              <a:prstDash val="dash"/>
            </a:ln>
          </c:spPr>
          <c:marker>
            <c:symbol val="none"/>
          </c:marker>
          <c:dLbls>
            <c:delete val="1"/>
          </c:dLbls>
          <c:cat>
            <c:numRef>
              <c:f>Chart_Source!$A$38:$A$43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Chart_Source!$F$38:$F$43</c:f>
              <c:numCache>
                <c:formatCode>0.00</c:formatCode>
                <c:ptCount val="6"/>
                <c:pt idx="0">
                  <c:v>94.29</c:v>
                </c:pt>
                <c:pt idx="1">
                  <c:v>87.71</c:v>
                </c:pt>
                <c:pt idx="2">
                  <c:v>63.72</c:v>
                </c:pt>
                <c:pt idx="3">
                  <c:v>52.53</c:v>
                </c:pt>
                <c:pt idx="4">
                  <c:v>40.72</c:v>
                </c:pt>
                <c:pt idx="5">
                  <c:v>35.69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"Tree Inference"</c:f>
              <c:strCache>
                <c:ptCount val="1"/>
                <c:pt idx="0">
                  <c:v>Tree Inference</c:v>
                </c:pt>
              </c:strCache>
            </c:strRef>
          </c:tx>
          <c:spPr>
            <a:ln xmlns:a="http://schemas.openxmlformats.org/drawingml/2006/main" w="21431">
              <a:solidFill>
                <a:srgbClr val="E62929"/>
              </a:solidFill>
              <a:prstDash val="solid"/>
            </a:ln>
          </c:spPr>
          <c:marker>
            <c:symbol val="none"/>
          </c:marker>
          <c:dLbls>
            <c:delete val="1"/>
          </c:dLbls>
          <c:cat>
            <c:numRef>
              <c:f>Chart_Source!$A$38:$A$43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Chart_Source!$G$38:$G$43</c:f>
              <c:numCache>
                <c:formatCode>0.00</c:formatCode>
                <c:ptCount val="6"/>
                <c:pt idx="0">
                  <c:v>88.85</c:v>
                </c:pt>
                <c:pt idx="1">
                  <c:v>83.87</c:v>
                </c:pt>
                <c:pt idx="2">
                  <c:v>65.75</c:v>
                </c:pt>
                <c:pt idx="3">
                  <c:v>56.7</c:v>
                </c:pt>
                <c:pt idx="4">
                  <c:v>46.39</c:v>
                </c:pt>
                <c:pt idx="5">
                  <c:v>42.27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Number of Candidate Classes (N)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 u="none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0" sourceLinked="1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6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Accuracy (%)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 u="none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0.00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6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(f) Gemma-4-E4B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"Baseline - SD"</c:f>
              <c:strCache>
                <c:ptCount val="1"/>
                <c:pt idx="0">
                  <c:v>Baseline - SD</c:v>
                </c:pt>
              </c:strCache>
            </c:strRef>
          </c:tx>
          <c:spPr>
            <a:ln xmlns:a="http://schemas.openxmlformats.org/drawingml/2006/main" w="9525">
              <a:solidFill>
                <a:srgbClr val="BFBFBF"/>
              </a:solidFill>
              <a:prstDash val="dot"/>
            </a:ln>
          </c:spPr>
          <c:marker>
            <c:symbol val="none"/>
          </c:marker>
          <c:dLbls>
            <c:delete val="1"/>
          </c:dLbls>
          <c:cat>
            <c:numRef>
              <c:f>Chart_Source!$A$47:$A$52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Chart_Source!$B$47:$B$52</c:f>
              <c:numCache>
                <c:formatCode>0.00</c:formatCode>
                <c:ptCount val="6"/>
                <c:pt idx="0">
                  <c:v>86.83</c:v>
                </c:pt>
                <c:pt idx="1">
                  <c:v>80.66</c:v>
                </c:pt>
                <c:pt idx="2">
                  <c:v>67.52</c:v>
                </c:pt>
                <c:pt idx="3">
                  <c:v>57.82</c:v>
                </c:pt>
                <c:pt idx="4">
                  <c:v>41.65</c:v>
                </c:pt>
                <c:pt idx="5">
                  <c:v>31.17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"Baseline + SD"</c:f>
              <c:strCache>
                <c:ptCount val="1"/>
                <c:pt idx="0">
                  <c:v>Baseline + SD</c:v>
                </c:pt>
              </c:strCache>
            </c:strRef>
          </c:tx>
          <c:spPr>
            <a:ln xmlns:a="http://schemas.openxmlformats.org/drawingml/2006/main" w="9525">
              <a:solidFill>
                <a:srgbClr val="BFBFBF"/>
              </a:solidFill>
              <a:prstDash val="dot"/>
            </a:ln>
          </c:spPr>
          <c:marker>
            <c:symbol val="none"/>
          </c:marker>
          <c:dLbls>
            <c:delete val="1"/>
          </c:dLbls>
          <c:cat>
            <c:numRef>
              <c:f>Chart_Source!$A$47:$A$52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Chart_Source!$C$47:$C$52</c:f>
              <c:numCache>
                <c:formatCode>0.00</c:formatCode>
                <c:ptCount val="6"/>
                <c:pt idx="0">
                  <c:v>90.73</c:v>
                </c:pt>
                <c:pt idx="1">
                  <c:v>83.68</c:v>
                </c:pt>
                <c:pt idx="2">
                  <c:v>69.76</c:v>
                </c:pt>
                <c:pt idx="3">
                  <c:v>59.42</c:v>
                </c:pt>
                <c:pt idx="4">
                  <c:v>42.11</c:v>
                </c:pt>
                <c:pt idx="5">
                  <c:v>31.75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"Tree - SD"</c:f>
              <c:strCache>
                <c:ptCount val="1"/>
                <c:pt idx="0">
                  <c:v>Tree - SD</c:v>
                </c:pt>
              </c:strCache>
            </c:strRef>
          </c:tx>
          <c:spPr>
            <a:ln xmlns:a="http://schemas.openxmlformats.org/drawingml/2006/main" w="9525">
              <a:solidFill>
                <a:srgbClr val="F4A6A6"/>
              </a:solidFill>
              <a:prstDash val="dot"/>
            </a:ln>
          </c:spPr>
          <c:marker>
            <c:symbol val="none"/>
          </c:marker>
          <c:dLbls>
            <c:delete val="1"/>
          </c:dLbls>
          <c:cat>
            <c:numRef>
              <c:f>Chart_Source!$A$47:$A$52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Chart_Source!$D$47:$D$52</c:f>
              <c:numCache>
                <c:formatCode>0.00</c:formatCode>
                <c:ptCount val="6"/>
                <c:pt idx="0">
                  <c:v>85.56</c:v>
                </c:pt>
                <c:pt idx="1">
                  <c:v>78.51</c:v>
                </c:pt>
                <c:pt idx="2">
                  <c:v>64.2</c:v>
                </c:pt>
                <c:pt idx="3">
                  <c:v>55.95</c:v>
                </c:pt>
                <c:pt idx="4">
                  <c:v>43.43</c:v>
                </c:pt>
                <c:pt idx="5">
                  <c:v>36.41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"Tree + SD"</c:f>
              <c:strCache>
                <c:ptCount val="1"/>
                <c:pt idx="0">
                  <c:v>Tree + SD</c:v>
                </c:pt>
              </c:strCache>
            </c:strRef>
          </c:tx>
          <c:spPr>
            <a:ln xmlns:a="http://schemas.openxmlformats.org/drawingml/2006/main" w="9525">
              <a:solidFill>
                <a:srgbClr val="F4A6A6"/>
              </a:solidFill>
              <a:prstDash val="dot"/>
            </a:ln>
          </c:spPr>
          <c:marker>
            <c:symbol val="none"/>
          </c:marker>
          <c:dLbls>
            <c:delete val="1"/>
          </c:dLbls>
          <c:cat>
            <c:numRef>
              <c:f>Chart_Source!$A$47:$A$52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Chart_Source!$E$47:$E$52</c:f>
              <c:numCache>
                <c:formatCode>0.00</c:formatCode>
                <c:ptCount val="6"/>
                <c:pt idx="0">
                  <c:v>89.38</c:v>
                </c:pt>
                <c:pt idx="1">
                  <c:v>81.81</c:v>
                </c:pt>
                <c:pt idx="2">
                  <c:v>66.84</c:v>
                </c:pt>
                <c:pt idx="3">
                  <c:v>57.67</c:v>
                </c:pt>
                <c:pt idx="4">
                  <c:v>44.15</c:v>
                </c:pt>
                <c:pt idx="5">
                  <c:v>36.93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"Baseline"</c:f>
              <c:strCache>
                <c:ptCount val="1"/>
                <c:pt idx="0">
                  <c:v>Baseline</c:v>
                </c:pt>
              </c:strCache>
            </c:strRef>
          </c:tx>
          <c:spPr>
            <a:ln xmlns:a="http://schemas.openxmlformats.org/drawingml/2006/main" w="14288">
              <a:solidFill>
                <a:srgbClr val="8C8C8C"/>
              </a:solidFill>
              <a:prstDash val="dash"/>
            </a:ln>
          </c:spPr>
          <c:marker>
            <c:symbol val="none"/>
          </c:marker>
          <c:dLbls>
            <c:delete val="1"/>
          </c:dLbls>
          <c:cat>
            <c:numRef>
              <c:f>Chart_Source!$A$47:$A$52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Chart_Source!$F$47:$F$52</c:f>
              <c:numCache>
                <c:formatCode>0.00</c:formatCode>
                <c:ptCount val="6"/>
                <c:pt idx="0">
                  <c:v>88.78</c:v>
                </c:pt>
                <c:pt idx="1">
                  <c:v>82.17</c:v>
                </c:pt>
                <c:pt idx="2">
                  <c:v>68.64</c:v>
                </c:pt>
                <c:pt idx="3">
                  <c:v>58.62</c:v>
                </c:pt>
                <c:pt idx="4">
                  <c:v>41.88</c:v>
                </c:pt>
                <c:pt idx="5">
                  <c:v>31.46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"Tree Inference"</c:f>
              <c:strCache>
                <c:ptCount val="1"/>
                <c:pt idx="0">
                  <c:v>Tree Inference</c:v>
                </c:pt>
              </c:strCache>
            </c:strRef>
          </c:tx>
          <c:spPr>
            <a:ln xmlns:a="http://schemas.openxmlformats.org/drawingml/2006/main" w="21431">
              <a:solidFill>
                <a:srgbClr val="E62929"/>
              </a:solidFill>
              <a:prstDash val="solid"/>
            </a:ln>
          </c:spPr>
          <c:marker>
            <c:symbol val="none"/>
          </c:marker>
          <c:dLbls>
            <c:delete val="1"/>
          </c:dLbls>
          <c:cat>
            <c:numRef>
              <c:f>Chart_Source!$A$47:$A$52</c:f>
              <c:numCache>
                <c:formatCode>0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  <c:pt idx="5">
                  <c:v>1000</c:v>
                </c:pt>
              </c:numCache>
            </c:numRef>
          </c:cat>
          <c:val>
            <c:numRef>
              <c:f>Chart_Source!$G$47:$G$52</c:f>
              <c:numCache>
                <c:formatCode>0.00</c:formatCode>
                <c:ptCount val="6"/>
                <c:pt idx="0">
                  <c:v>87.47</c:v>
                </c:pt>
                <c:pt idx="1">
                  <c:v>80.16</c:v>
                </c:pt>
                <c:pt idx="2">
                  <c:v>65.52</c:v>
                </c:pt>
                <c:pt idx="3">
                  <c:v>56.81</c:v>
                </c:pt>
                <c:pt idx="4">
                  <c:v>43.79</c:v>
                </c:pt>
                <c:pt idx="5">
                  <c:v>36.67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Number of Candidate Classes (N)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 u="none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0" sourceLinked="1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6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Accuracy (%)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 u="none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0.00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6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4</xdr:col>
      <xdr:colOff>1233781</xdr:colOff>
      <xdr:row>14</xdr:row>
      <xdr:rowOff>10818</xdr:rowOff>
    </xdr:from>
    <xdr:ext cx="65" cy="207787"/>
    <xdr:sp>
      <xdr:nvSpPr>
        <xdr:cNvPr id="1" name="文本框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982970" y="3081655"/>
          <a:ext cx="635" cy="207645"/>
        </a:xfrm>
        <a:prstGeom xmlns:a="http://schemas.openxmlformats.org/drawingml/2006/main" prst="rect">
          <a:avLst/>
        </a:prstGeom>
        <a:noFill xmlns:a="http://schemas.openxmlformats.org/drawingml/2006/main"/>
      </xdr:spPr>
      <xdr:style>
        <a:lnRef xmlns:a="http://schemas.openxmlformats.org/drawingml/2006/main" idx="0">
          <a:srgbClr val="FFFFFF"/>
        </a:lnRef>
        <a:fillRef xmlns:a="http://schemas.openxmlformats.org/drawingml/2006/main" idx="0">
          <a:srgbClr val="FFFFFF"/>
        </a:fillRef>
        <a:effectRef xmlns:a="http://schemas.openxmlformats.org/drawingml/2006/main" idx="0">
          <a:srgbClr val="FFFFFF"/>
        </a:effectRef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none" lIns="0" tIns="0" rIns="0" bIns="0" anchor="t">
          <a:spAutoFit/>
        </a:bodyPr>
        <a:lstStyle xmlns:a="http://schemas.openxmlformats.org/drawingml/2006/main"/>
        <a:p xmlns:a="http://schemas.openxmlformats.org/drawingml/2006/main">
          <a:endParaRPr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2</xdr:row>
      <xdr:rowOff>0</xdr:rowOff>
    </xdr:from>
    <xdr:to>
      <xdr:col>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6e7240139e4808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91b39781934c24"/>
        </a:graphicData>
      </a:graphic>
    </xdr:graphicFrame>
    <xdr:clientData/>
  </xdr:twoCellAnchor>
  <xdr:twoCellAnchor>
    <xdr:from>
      <xdr:col>18</xdr:col>
      <xdr:colOff>0</xdr:colOff>
      <xdr:row>2</xdr:row>
      <xdr:rowOff>0</xdr:rowOff>
    </xdr:from>
    <xdr:to>
      <xdr:col>26</xdr:col>
      <xdr:colOff>0</xdr:colOff>
      <xdr:row>18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681f748bf747c6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8</xdr:col>
      <xdr:colOff>0</xdr:colOff>
      <xdr:row>35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968486c8b7412c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35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78765d27b84dfb"/>
        </a:graphicData>
      </a:graphic>
    </xdr:graphicFrame>
    <xdr:clientData/>
  </xdr:twoCellAnchor>
  <xdr:twoCellAnchor>
    <xdr:from>
      <xdr:col>18</xdr:col>
      <xdr:colOff>0</xdr:colOff>
      <xdr:row>19</xdr:row>
      <xdr:rowOff>0</xdr:rowOff>
    </xdr:from>
    <xdr:to>
      <xdr:col>26</xdr:col>
      <xdr:colOff>0</xdr:colOff>
      <xdr:row>35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2f041e8eee499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ccuracyInputTable" displayName="AccuracyInputTable" ref="A4:H40" totalsRowShown="0">
  <x:tableColumns count="8">
    <x:tableColumn id="1" name="Model_Key"/>
    <x:tableColumn id="2" name="Panel"/>
    <x:tableColumn id="3" name="Display_Name"/>
    <x:tableColumn id="4" name="Nway"/>
    <x:tableColumn id="5" name="Baseline_Mean (%)"/>
    <x:tableColumn id="6" name="Baseline_SD (pp)"/>
    <x:tableColumn id="7" name="Tree_Inference_Mean (%)"/>
    <x:tableColumn id="8" name="Tree_Inference_SD (pp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210bed0f3e444e5" /><Relationship Type="http://schemas.openxmlformats.org/officeDocument/2006/relationships/table" Target="/xl/tables/table1.xml" Id="R5d01cc4896b641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dc0476118e5243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83088207244873" defaultRowHeight="16.799999237060547"/>
  <x:cols>
    <x:col min="1" max="1" width="18" customWidth="1"/>
    <x:col min="2" max="2" width="82" customWidth="1"/>
  </x:cols>
  <x:sheetData>
    <x:row r="1" ht="34" customHeight="1">
      <x:c r="A1" s="32" t="s">
        <x:v>0</x:v>
      </x:c>
      <x:c r="B1" s="32"/>
      <x:c r="C1" s="33"/>
      <x:c r="D1" s="33"/>
      <x:c r="E1" s="33"/>
      <x:c r="F1" s="33"/>
      <x:c r="G1" s="33"/>
      <x:c r="H1" s="33"/>
    </x:row>
    <x:row r="3">
      <x:c r="A3" s="34" t="s">
        <x:v>1</x:v>
      </x:c>
      <x:c r="B3" s="35" t="s">
        <x:v>2</x:v>
      </x:c>
    </x:row>
    <x:row r="4">
      <x:c r="A4" s="36">
        <x:v>1</x:v>
      </x:c>
      <x:c r="B4" s="37" t="s">
        <x:v>3</x:v>
      </x:c>
    </x:row>
    <x:row r="5">
      <x:c r="A5" s="38">
        <x:v>2</x:v>
      </x:c>
      <x:c r="B5" s="39" t="s">
        <x:v>4</x:v>
      </x:c>
    </x:row>
    <x:row r="6">
      <x:c r="A6" s="38">
        <x:v>3</x:v>
      </x:c>
      <x:c r="B6" s="39" t="s">
        <x:v>5</x:v>
      </x:c>
    </x:row>
    <x:row r="7">
      <x:c r="A7" s="38">
        <x:v>4</x:v>
      </x:c>
      <x:c r="B7" s="39" t="s">
        <x:v>6</x:v>
      </x:c>
    </x:row>
    <x:row r="8">
      <x:c r="A8" s="40">
        <x:v>5</x:v>
      </x:c>
      <x:c r="B8" s="41" t="s">
        <x:v>7</x:v>
      </x:c>
    </x:row>
    <x:row r="10">
      <x:c r="A10" s="42" t="s">
        <x:v>8</x:v>
      </x:c>
      <x:c r="B10" s="43" t="s">
        <x:v>9</x:v>
      </x:c>
    </x:row>
    <x:row r="11">
      <x:c r="A11" s="44" t="s">
        <x:v>10</x:v>
      </x:c>
      <x:c r="B11" s="45" t="s">
        <x:v>11</x:v>
      </x:c>
    </x:row>
    <x:row r="12">
      <x:c r="A12" s="44" t="s">
        <x:v>12</x:v>
      </x:c>
      <x:c r="B12" s="45" t="s">
        <x:v>13</x:v>
      </x:c>
    </x:row>
    <x:row r="13">
      <x:c r="A13" s="46" t="s">
        <x:v>14</x:v>
      </x:c>
      <x:c r="B13" s="47" t="s">
        <x:v>15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83088207244873" defaultRowHeight="16.799999237060547"/>
  <x:cols>
    <x:col min="1" max="1" width="14" customWidth="1"/>
    <x:col min="2" max="2" width="9" customWidth="1"/>
    <x:col min="3" max="3" width="22" customWidth="1"/>
    <x:col min="4" max="4" width="10" customWidth="1"/>
    <x:col min="5" max="8" width="22" customWidth="1"/>
  </x:cols>
  <x:sheetData>
    <x:row r="1" ht="23.200000762939453">
      <x:c r="A1" s="14" t="s">
        <x:v>16</x:v>
      </x:c>
      <x:c r="B1" s="14"/>
      <x:c r="C1" s="14"/>
      <x:c r="D1" s="14"/>
      <x:c r="E1" s="14"/>
      <x:c r="F1" s="14"/>
      <x:c r="G1" s="14"/>
      <x:c r="H1" s="14"/>
    </x:row>
    <x:row r="2">
      <x:c r="A2" s="15" t="str">
        <x:v>N=10 means updated from author-confirmed entry corrections on 2026-09-03; SD unchanged. See N10 Corrections.</x:v>
      </x:c>
      <x:c r="B2" s="15"/>
      <x:c r="C2" s="15"/>
      <x:c r="D2" s="15"/>
      <x:c r="E2" s="15"/>
      <x:c r="F2" s="15"/>
      <x:c r="G2" s="15"/>
      <x:c r="H2" s="15"/>
    </x:row>
    <x:row r="4" ht="17">
      <x:c r="A4" s="16" t="s">
        <x:v>17</x:v>
      </x:c>
      <x:c r="B4" s="17" t="s">
        <x:v>18</x:v>
      </x:c>
      <x:c r="C4" s="17" t="s">
        <x:v>19</x:v>
      </x:c>
      <x:c r="D4" s="17" t="s">
        <x:v>20</x:v>
      </x:c>
      <x:c r="E4" s="17" t="s">
        <x:v>21</x:v>
      </x:c>
      <x:c r="F4" s="17" t="s">
        <x:v>22</x:v>
      </x:c>
      <x:c r="G4" s="17" t="s">
        <x:v>23</x:v>
      </x:c>
      <x:c r="H4" s="18" t="s">
        <x:v>24</x:v>
      </x:c>
    </x:row>
    <x:row r="5">
      <x:c r="A5" s="19" t="s">
        <x:v>25</x:v>
      </x:c>
      <x:c r="B5" s="19" t="s">
        <x:v>26</x:v>
      </x:c>
      <x:c r="C5" s="19" t="s">
        <x:v>27</x:v>
      </x:c>
      <x:c r="D5" s="20">
        <x:v>10</x:v>
      </x:c>
      <x:c r="E5" s="21" t="n">
        <x:v>97.16</x:v>
      </x:c>
      <x:c r="F5" s="22">
        <x:v>2.06</x:v>
      </x:c>
      <x:c r="G5" s="21" t="n">
        <x:v>97.76</x:v>
      </x:c>
      <x:c r="H5" s="22">
        <x:v>2.17</x:v>
      </x:c>
    </x:row>
    <x:row r="6">
      <x:c r="A6" s="7" t="s">
        <x:v>25</x:v>
      </x:c>
      <x:c r="B6" s="7" t="s">
        <x:v>26</x:v>
      </x:c>
      <x:c r="C6" s="7" t="s">
        <x:v>27</x:v>
      </x:c>
      <x:c r="D6" s="8">
        <x:v>20</x:v>
      </x:c>
      <x:c r="E6" s="9" t="n">
        <x:v>95.24</x:v>
      </x:c>
      <x:c r="F6" s="23">
        <x:v>2.35</x:v>
      </x:c>
      <x:c r="G6" s="9" t="n">
        <x:v>96.04</x:v>
      </x:c>
      <x:c r="H6" s="23">
        <x:v>1.94</x:v>
      </x:c>
    </x:row>
    <x:row r="7">
      <x:c r="A7" s="7" t="s">
        <x:v>25</x:v>
      </x:c>
      <x:c r="B7" s="7" t="s">
        <x:v>26</x:v>
      </x:c>
      <x:c r="C7" s="7" t="s">
        <x:v>27</x:v>
      </x:c>
      <x:c r="D7" s="8">
        <x:v>100</x:v>
      </x:c>
      <x:c r="E7" s="9">
        <x:v>84.88</x:v>
      </x:c>
      <x:c r="F7" s="23">
        <x:v>1.57</x:v>
      </x:c>
      <x:c r="G7" s="9">
        <x:v>90</x:v>
      </x:c>
      <x:c r="H7" s="23">
        <x:v>1.79</x:v>
      </x:c>
    </x:row>
    <x:row r="8">
      <x:c r="A8" s="7" t="s">
        <x:v>25</x:v>
      </x:c>
      <x:c r="B8" s="7" t="s">
        <x:v>26</x:v>
      </x:c>
      <x:c r="C8" s="7" t="s">
        <x:v>27</x:v>
      </x:c>
      <x:c r="D8" s="8">
        <x:v>200</x:v>
      </x:c>
      <x:c r="E8" s="9">
        <x:v>82.94</x:v>
      </x:c>
      <x:c r="F8" s="23">
        <x:v>1.02</x:v>
      </x:c>
      <x:c r="G8" s="9">
        <x:v>85.43</x:v>
      </x:c>
      <x:c r="H8" s="23">
        <x:v>1.17</x:v>
      </x:c>
    </x:row>
    <x:row r="9">
      <x:c r="A9" s="7" t="s">
        <x:v>25</x:v>
      </x:c>
      <x:c r="B9" s="7" t="s">
        <x:v>26</x:v>
      </x:c>
      <x:c r="C9" s="7" t="s">
        <x:v>27</x:v>
      </x:c>
      <x:c r="D9" s="8">
        <x:v>500</x:v>
      </x:c>
      <x:c r="E9" s="9">
        <x:v>70.4</x:v>
      </x:c>
      <x:c r="F9" s="23">
        <x:v>0.64</x:v>
      </x:c>
      <x:c r="G9" s="9">
        <x:v>78.15</x:v>
      </x:c>
      <x:c r="H9" s="23">
        <x:v>0.6</x:v>
      </x:c>
    </x:row>
    <x:row r="10" s="13" customFormat="1">
      <x:c r="A10" s="24" t="s">
        <x:v>25</x:v>
      </x:c>
      <x:c r="B10" s="24" t="s">
        <x:v>26</x:v>
      </x:c>
      <x:c r="C10" s="24" t="s">
        <x:v>27</x:v>
      </x:c>
      <x:c r="D10" s="25">
        <x:v>1000</x:v>
      </x:c>
      <x:c r="E10" s="26">
        <x:v>61.8</x:v>
      </x:c>
      <x:c r="F10" s="27">
        <x:v>0.73</x:v>
      </x:c>
      <x:c r="G10" s="26">
        <x:v>71.57</x:v>
      </x:c>
      <x:c r="H10" s="27">
        <x:v>0.68</x:v>
      </x:c>
    </x:row>
    <x:row r="11">
      <x:c r="A11" s="7" t="s">
        <x:v>28</x:v>
      </x:c>
      <x:c r="B11" s="7" t="s">
        <x:v>29</x:v>
      </x:c>
      <x:c r="C11" s="7" t="s">
        <x:v>30</x:v>
      </x:c>
      <x:c r="D11" s="8">
        <x:v>10</x:v>
      </x:c>
      <x:c r="E11" s="9" t="n">
        <x:v>95.8</x:v>
      </x:c>
      <x:c r="F11" s="23">
        <x:v>1.87</x:v>
      </x:c>
      <x:c r="G11" s="9" t="n">
        <x:v>92.92</x:v>
      </x:c>
      <x:c r="H11" s="23">
        <x:v>1.85</x:v>
      </x:c>
    </x:row>
    <x:row r="12">
      <x:c r="A12" s="7" t="s">
        <x:v>28</x:v>
      </x:c>
      <x:c r="B12" s="7" t="s">
        <x:v>29</x:v>
      </x:c>
      <x:c r="C12" s="7" t="s">
        <x:v>30</x:v>
      </x:c>
      <x:c r="D12" s="8">
        <x:v>20</x:v>
      </x:c>
      <x:c r="E12" s="9">
        <x:v>89.86</x:v>
      </x:c>
      <x:c r="F12" s="23">
        <x:v>1.84</x:v>
      </x:c>
      <x:c r="G12" s="9" t="n">
        <x:v>89.14</x:v>
      </x:c>
      <x:c r="H12" s="23">
        <x:v>1.5</x:v>
      </x:c>
    </x:row>
    <x:row r="13">
      <x:c r="A13" s="7" t="s">
        <x:v>28</x:v>
      </x:c>
      <x:c r="B13" s="7" t="s">
        <x:v>29</x:v>
      </x:c>
      <x:c r="C13" s="7" t="s">
        <x:v>30</x:v>
      </x:c>
      <x:c r="D13" s="8">
        <x:v>100</x:v>
      </x:c>
      <x:c r="E13" s="9">
        <x:v>75.31</x:v>
      </x:c>
      <x:c r="F13" s="23">
        <x:v>1.6</x:v>
      </x:c>
      <x:c r="G13" s="9">
        <x:v>76.19</x:v>
      </x:c>
      <x:c r="H13" s="23">
        <x:v>1.33</x:v>
      </x:c>
    </x:row>
    <x:row r="14">
      <x:c r="A14" s="7" t="s">
        <x:v>28</x:v>
      </x:c>
      <x:c r="B14" s="7" t="s">
        <x:v>29</x:v>
      </x:c>
      <x:c r="C14" s="7" t="s">
        <x:v>30</x:v>
      </x:c>
      <x:c r="D14" s="8">
        <x:v>200</x:v>
      </x:c>
      <x:c r="E14" s="9">
        <x:v>66.28</x:v>
      </x:c>
      <x:c r="F14" s="23">
        <x:v>1.11</x:v>
      </x:c>
      <x:c r="G14" s="9">
        <x:v>67.09</x:v>
      </x:c>
      <x:c r="H14" s="23">
        <x:v>1.34</x:v>
      </x:c>
    </x:row>
    <x:row r="15">
      <x:c r="A15" s="7" t="s">
        <x:v>28</x:v>
      </x:c>
      <x:c r="B15" s="7" t="s">
        <x:v>29</x:v>
      </x:c>
      <x:c r="C15" s="7" t="s">
        <x:v>30</x:v>
      </x:c>
      <x:c r="D15" s="8">
        <x:v>500</x:v>
      </x:c>
      <x:c r="E15" s="9">
        <x:v>53.12</x:v>
      </x:c>
      <x:c r="F15" s="23">
        <x:v>0.77</x:v>
      </x:c>
      <x:c r="G15" s="9">
        <x:v>55.18</x:v>
      </x:c>
      <x:c r="H15" s="23">
        <x:v>0.61</x:v>
      </x:c>
    </x:row>
    <x:row r="16" s="13" customFormat="1">
      <x:c r="A16" s="24" t="s">
        <x:v>28</x:v>
      </x:c>
      <x:c r="B16" s="24" t="s">
        <x:v>29</x:v>
      </x:c>
      <x:c r="C16" s="24" t="s">
        <x:v>30</x:v>
      </x:c>
      <x:c r="D16" s="25">
        <x:v>1000</x:v>
      </x:c>
      <x:c r="E16" s="26">
        <x:v>40.54</x:v>
      </x:c>
      <x:c r="F16" s="27">
        <x:v>0.36</x:v>
      </x:c>
      <x:c r="G16" s="26">
        <x:v>51.36</x:v>
      </x:c>
      <x:c r="H16" s="27">
        <x:v>0.32</x:v>
      </x:c>
    </x:row>
    <x:row r="17">
      <x:c r="A17" s="7" t="s">
        <x:v>31</x:v>
      </x:c>
      <x:c r="B17" s="7" t="s">
        <x:v>32</x:v>
      </x:c>
      <x:c r="C17" s="7" t="s">
        <x:v>33</x:v>
      </x:c>
      <x:c r="D17" s="8">
        <x:v>10</x:v>
      </x:c>
      <x:c r="E17" s="9" t="n">
        <x:v>97.04</x:v>
      </x:c>
      <x:c r="F17" s="23">
        <x:v>2.09</x:v>
      </x:c>
      <x:c r="G17" s="9" t="n">
        <x:v>97.08</x:v>
      </x:c>
      <x:c r="H17" s="23">
        <x:v>1.81</x:v>
      </x:c>
    </x:row>
    <x:row r="18">
      <x:c r="A18" s="7" t="s">
        <x:v>31</x:v>
      </x:c>
      <x:c r="B18" s="7" t="s">
        <x:v>32</x:v>
      </x:c>
      <x:c r="C18" s="7" t="s">
        <x:v>33</x:v>
      </x:c>
      <x:c r="D18" s="8">
        <x:v>20</x:v>
      </x:c>
      <x:c r="E18" s="9">
        <x:v>96.8</x:v>
      </x:c>
      <x:c r="F18" s="23">
        <x:v>1.83</x:v>
      </x:c>
      <x:c r="G18" s="9">
        <x:v>97.62</x:v>
      </x:c>
      <x:c r="H18" s="23">
        <x:v>1.93</x:v>
      </x:c>
    </x:row>
    <x:row r="19">
      <x:c r="A19" s="7" t="s">
        <x:v>31</x:v>
      </x:c>
      <x:c r="B19" s="7" t="s">
        <x:v>32</x:v>
      </x:c>
      <x:c r="C19" s="7" t="s">
        <x:v>33</x:v>
      </x:c>
      <x:c r="D19" s="8">
        <x:v>100</x:v>
      </x:c>
      <x:c r="E19" s="9">
        <x:v>91.02</x:v>
      </x:c>
      <x:c r="F19" s="23">
        <x:v>0.86</x:v>
      </x:c>
      <x:c r="G19" s="9">
        <x:v>91.79</x:v>
      </x:c>
      <x:c r="H19" s="23">
        <x:v>1.66</x:v>
      </x:c>
    </x:row>
    <x:row r="20">
      <x:c r="A20" s="7" t="s">
        <x:v>31</x:v>
      </x:c>
      <x:c r="B20" s="7" t="s">
        <x:v>32</x:v>
      </x:c>
      <x:c r="C20" s="7" t="s">
        <x:v>33</x:v>
      </x:c>
      <x:c r="D20" s="8">
        <x:v>200</x:v>
      </x:c>
      <x:c r="E20" s="9">
        <x:v>84.24</x:v>
      </x:c>
      <x:c r="F20" s="23">
        <x:v>0.74</x:v>
      </x:c>
      <x:c r="G20" s="9">
        <x:v>86.62</x:v>
      </x:c>
      <x:c r="H20" s="23">
        <x:v>0.59</x:v>
      </x:c>
    </x:row>
    <x:row r="21">
      <x:c r="A21" s="7" t="s">
        <x:v>31</x:v>
      </x:c>
      <x:c r="B21" s="7" t="s">
        <x:v>32</x:v>
      </x:c>
      <x:c r="C21" s="7" t="s">
        <x:v>33</x:v>
      </x:c>
      <x:c r="D21" s="8">
        <x:v>500</x:v>
      </x:c>
      <x:c r="E21" s="9">
        <x:v>76.56</x:v>
      </x:c>
      <x:c r="F21" s="23">
        <x:v>0.49</x:v>
      </x:c>
      <x:c r="G21" s="9">
        <x:v>78.56</x:v>
      </x:c>
      <x:c r="H21" s="23">
        <x:v>0.48</x:v>
      </x:c>
    </x:row>
    <x:row r="22" s="13" customFormat="1">
      <x:c r="A22" s="24" t="s">
        <x:v>31</x:v>
      </x:c>
      <x:c r="B22" s="24" t="s">
        <x:v>32</x:v>
      </x:c>
      <x:c r="C22" s="24" t="s">
        <x:v>33</x:v>
      </x:c>
      <x:c r="D22" s="25">
        <x:v>1000</x:v>
      </x:c>
      <x:c r="E22" s="26">
        <x:v>67.56</x:v>
      </x:c>
      <x:c r="F22" s="27">
        <x:v>0.38</x:v>
      </x:c>
      <x:c r="G22" s="26">
        <x:v>71.16</x:v>
      </x:c>
      <x:c r="H22" s="27">
        <x:v>0.44</x:v>
      </x:c>
    </x:row>
    <x:row r="23">
      <x:c r="A23" s="7" t="s">
        <x:v>34</x:v>
      </x:c>
      <x:c r="B23" s="7" t="s">
        <x:v>35</x:v>
      </x:c>
      <x:c r="C23" s="7" t="s">
        <x:v>36</x:v>
      </x:c>
      <x:c r="D23" s="8">
        <x:v>10</x:v>
      </x:c>
      <x:c r="E23" s="9" t="n">
        <x:v>68.72</x:v>
      </x:c>
      <x:c r="F23" s="23">
        <x:v>1.89</x:v>
      </x:c>
      <x:c r="G23" s="9" t="n">
        <x:v>67.04</x:v>
      </x:c>
      <x:c r="H23" s="23">
        <x:v>1.73</x:v>
      </x:c>
    </x:row>
    <x:row r="24">
      <x:c r="A24" s="7" t="s">
        <x:v>34</x:v>
      </x:c>
      <x:c r="B24" s="7" t="s">
        <x:v>35</x:v>
      </x:c>
      <x:c r="C24" s="7" t="s">
        <x:v>36</x:v>
      </x:c>
      <x:c r="D24" s="8">
        <x:v>20</x:v>
      </x:c>
      <x:c r="E24" s="9">
        <x:v>49</x:v>
      </x:c>
      <x:c r="F24" s="23">
        <x:v>1.3</x:v>
      </x:c>
      <x:c r="G24" s="9">
        <x:v>56.02</x:v>
      </x:c>
      <x:c r="H24" s="23">
        <x:v>1.37</x:v>
      </x:c>
    </x:row>
    <x:row r="25">
      <x:c r="A25" s="7" t="s">
        <x:v>34</x:v>
      </x:c>
      <x:c r="B25" s="7" t="s">
        <x:v>35</x:v>
      </x:c>
      <x:c r="C25" s="7" t="s">
        <x:v>36</x:v>
      </x:c>
      <x:c r="D25" s="8">
        <x:v>100</x:v>
      </x:c>
      <x:c r="E25" s="9">
        <x:v>17.84</x:v>
      </x:c>
      <x:c r="F25" s="23">
        <x:v>0.87</x:v>
      </x:c>
      <x:c r="G25" s="9">
        <x:v>39.58</x:v>
      </x:c>
      <x:c r="H25" s="23">
        <x:v>1.05</x:v>
      </x:c>
    </x:row>
    <x:row r="26">
      <x:c r="A26" s="7" t="s">
        <x:v>34</x:v>
      </x:c>
      <x:c r="B26" s="7" t="s">
        <x:v>35</x:v>
      </x:c>
      <x:c r="C26" s="7" t="s">
        <x:v>36</x:v>
      </x:c>
      <x:c r="D26" s="8">
        <x:v>200</x:v>
      </x:c>
      <x:c r="E26" s="9">
        <x:v>7.21</x:v>
      </x:c>
      <x:c r="F26" s="23">
        <x:v>0.72</x:v>
      </x:c>
      <x:c r="G26" s="9">
        <x:v>31.46</x:v>
      </x:c>
      <x:c r="H26" s="23">
        <x:v>0.65</x:v>
      </x:c>
    </x:row>
    <x:row r="27">
      <x:c r="A27" s="7" t="s">
        <x:v>34</x:v>
      </x:c>
      <x:c r="B27" s="7" t="s">
        <x:v>35</x:v>
      </x:c>
      <x:c r="C27" s="7" t="s">
        <x:v>36</x:v>
      </x:c>
      <x:c r="D27" s="8">
        <x:v>500</x:v>
      </x:c>
      <x:c r="E27" s="9">
        <x:v>2.2</x:v>
      </x:c>
      <x:c r="F27" s="23">
        <x:v>0.48</x:v>
      </x:c>
      <x:c r="G27" s="9">
        <x:v>21.44</x:v>
      </x:c>
      <x:c r="H27" s="23">
        <x:v>0.36</x:v>
      </x:c>
    </x:row>
    <x:row r="28" s="13" customFormat="1">
      <x:c r="A28" s="24" t="s">
        <x:v>34</x:v>
      </x:c>
      <x:c r="B28" s="24" t="s">
        <x:v>35</x:v>
      </x:c>
      <x:c r="C28" s="24" t="s">
        <x:v>36</x:v>
      </x:c>
      <x:c r="D28" s="25">
        <x:v>1000</x:v>
      </x:c>
      <x:c r="E28" s="26">
        <x:v>0.5</x:v>
      </x:c>
      <x:c r="F28" s="27">
        <x:v>0.33</x:v>
      </x:c>
      <x:c r="G28" s="26">
        <x:v>19.04</x:v>
      </x:c>
      <x:c r="H28" s="27">
        <x:v>0.4</x:v>
      </x:c>
    </x:row>
    <x:row r="29">
      <x:c r="A29" s="7" t="s">
        <x:v>37</x:v>
      </x:c>
      <x:c r="B29" s="7" t="s">
        <x:v>38</x:v>
      </x:c>
      <x:c r="C29" s="7" t="s">
        <x:v>39</x:v>
      </x:c>
      <x:c r="D29" s="8">
        <x:v>10</x:v>
      </x:c>
      <x:c r="E29" s="9" t="n">
        <x:v>94.28</x:v>
      </x:c>
      <x:c r="F29" s="23">
        <x:v>1.83</x:v>
      </x:c>
      <x:c r="G29" s="9" t="n">
        <x:f>'Kimi N10 Update'!H2</x:f>
        <x:v>93.16</x:v>
      </x:c>
      <x:c r="H29" s="23">
        <x:v>1.72</x:v>
      </x:c>
    </x:row>
    <x:row r="30">
      <x:c r="A30" s="7" t="s">
        <x:v>37</x:v>
      </x:c>
      <x:c r="B30" s="7" t="s">
        <x:v>38</x:v>
      </x:c>
      <x:c r="C30" s="7" t="s">
        <x:v>39</x:v>
      </x:c>
      <x:c r="D30" s="8">
        <x:v>20</x:v>
      </x:c>
      <x:c r="E30" s="9" t="n">
        <x:v>87.7</x:v>
      </x:c>
      <x:c r="F30" s="23">
        <x:v>1.62</x:v>
      </x:c>
      <x:c r="G30" s="9" t="n">
        <x:v>83.86</x:v>
      </x:c>
      <x:c r="H30" s="23">
        <x:v>1.28</x:v>
      </x:c>
    </x:row>
    <x:row r="31">
      <x:c r="A31" s="7" t="s">
        <x:v>37</x:v>
      </x:c>
      <x:c r="B31" s="7" t="s">
        <x:v>38</x:v>
      </x:c>
      <x:c r="C31" s="7" t="s">
        <x:v>39</x:v>
      </x:c>
      <x:c r="D31" s="8">
        <x:v>100</x:v>
      </x:c>
      <x:c r="E31" s="9">
        <x:v>63.72</x:v>
      </x:c>
      <x:c r="F31" s="23">
        <x:v>1.33</x:v>
      </x:c>
      <x:c r="G31" s="9">
        <x:v>65.75</x:v>
      </x:c>
      <x:c r="H31" s="23">
        <x:v>1.14</x:v>
      </x:c>
    </x:row>
    <x:row r="32">
      <x:c r="A32" s="7" t="s">
        <x:v>37</x:v>
      </x:c>
      <x:c r="B32" s="7" t="s">
        <x:v>38</x:v>
      </x:c>
      <x:c r="C32" s="7" t="s">
        <x:v>39</x:v>
      </x:c>
      <x:c r="D32" s="8">
        <x:v>200</x:v>
      </x:c>
      <x:c r="E32" s="9">
        <x:v>52.53</x:v>
      </x:c>
      <x:c r="F32" s="23">
        <x:v>0.99</x:v>
      </x:c>
      <x:c r="G32" s="9">
        <x:v>56.7</x:v>
      </x:c>
      <x:c r="H32" s="23">
        <x:v>0.92</x:v>
      </x:c>
    </x:row>
    <x:row r="33">
      <x:c r="A33" s="7" t="s">
        <x:v>37</x:v>
      </x:c>
      <x:c r="B33" s="7" t="s">
        <x:v>38</x:v>
      </x:c>
      <x:c r="C33" s="7" t="s">
        <x:v>39</x:v>
      </x:c>
      <x:c r="D33" s="8">
        <x:v>500</x:v>
      </x:c>
      <x:c r="E33" s="9">
        <x:v>40.72</x:v>
      </x:c>
      <x:c r="F33" s="23">
        <x:v>0.47</x:v>
      </x:c>
      <x:c r="G33" s="9">
        <x:v>46.39</x:v>
      </x:c>
      <x:c r="H33" s="23">
        <x:v>0.29</x:v>
      </x:c>
    </x:row>
    <x:row r="34" s="13" customFormat="1">
      <x:c r="A34" s="24" t="s">
        <x:v>37</x:v>
      </x:c>
      <x:c r="B34" s="24" t="s">
        <x:v>38</x:v>
      </x:c>
      <x:c r="C34" s="24" t="s">
        <x:v>39</x:v>
      </x:c>
      <x:c r="D34" s="25">
        <x:v>1000</x:v>
      </x:c>
      <x:c r="E34" s="26">
        <x:v>35.69</x:v>
      </x:c>
      <x:c r="F34" s="27">
        <x:v>0.26</x:v>
      </x:c>
      <x:c r="G34" s="26">
        <x:v>42.27</x:v>
      </x:c>
      <x:c r="H34" s="27">
        <x:v>0.27</x:v>
      </x:c>
    </x:row>
    <x:row r="35">
      <x:c r="A35" s="7" t="s">
        <x:v>40</x:v>
      </x:c>
      <x:c r="B35" s="7" t="s">
        <x:v>41</x:v>
      </x:c>
      <x:c r="C35" s="7" t="s">
        <x:v>42</x:v>
      </x:c>
      <x:c r="D35" s="8">
        <x:v>10</x:v>
      </x:c>
      <x:c r="E35" s="9" t="n">
        <x:v>88.76</x:v>
      </x:c>
      <x:c r="F35" s="23">
        <x:v>1.95</x:v>
      </x:c>
      <x:c r="G35" s="9" t="n">
        <x:v>87.48</x:v>
      </x:c>
      <x:c r="H35" s="23">
        <x:v>1.91</x:v>
      </x:c>
    </x:row>
    <x:row r="36">
      <x:c r="A36" s="7" t="s">
        <x:v>40</x:v>
      </x:c>
      <x:c r="B36" s="7" t="s">
        <x:v>41</x:v>
      </x:c>
      <x:c r="C36" s="7" t="s">
        <x:v>42</x:v>
      </x:c>
      <x:c r="D36" s="8">
        <x:v>20</x:v>
      </x:c>
      <x:c r="E36" s="9" t="n">
        <x:v>82.16</x:v>
      </x:c>
      <x:c r="F36" s="23">
        <x:v>1.51</x:v>
      </x:c>
      <x:c r="G36" s="9">
        <x:v>80.16</x:v>
      </x:c>
      <x:c r="H36" s="23">
        <x:v>1.65</x:v>
      </x:c>
    </x:row>
    <x:row r="37">
      <x:c r="A37" s="7" t="s">
        <x:v>40</x:v>
      </x:c>
      <x:c r="B37" s="7" t="s">
        <x:v>41</x:v>
      </x:c>
      <x:c r="C37" s="7" t="s">
        <x:v>42</x:v>
      </x:c>
      <x:c r="D37" s="8">
        <x:v>100</x:v>
      </x:c>
      <x:c r="E37" s="9">
        <x:v>68.64</x:v>
      </x:c>
      <x:c r="F37" s="23">
        <x:v>1.12</x:v>
      </x:c>
      <x:c r="G37" s="9">
        <x:v>65.52</x:v>
      </x:c>
      <x:c r="H37" s="23">
        <x:v>1.32</x:v>
      </x:c>
    </x:row>
    <x:row r="38">
      <x:c r="A38" s="7" t="s">
        <x:v>40</x:v>
      </x:c>
      <x:c r="B38" s="7" t="s">
        <x:v>41</x:v>
      </x:c>
      <x:c r="C38" s="7" t="s">
        <x:v>42</x:v>
      </x:c>
      <x:c r="D38" s="8">
        <x:v>200</x:v>
      </x:c>
      <x:c r="E38" s="9">
        <x:v>58.62</x:v>
      </x:c>
      <x:c r="F38" s="23">
        <x:v>0.8</x:v>
      </x:c>
      <x:c r="G38" s="9">
        <x:v>56.81</x:v>
      </x:c>
      <x:c r="H38" s="23">
        <x:v>0.86</x:v>
      </x:c>
    </x:row>
    <x:row r="39">
      <x:c r="A39" s="7" t="s">
        <x:v>40</x:v>
      </x:c>
      <x:c r="B39" s="7" t="s">
        <x:v>41</x:v>
      </x:c>
      <x:c r="C39" s="7" t="s">
        <x:v>42</x:v>
      </x:c>
      <x:c r="D39" s="8">
        <x:v>500</x:v>
      </x:c>
      <x:c r="E39" s="9">
        <x:v>41.88</x:v>
      </x:c>
      <x:c r="F39" s="23">
        <x:v>0.23</x:v>
      </x:c>
      <x:c r="G39" s="9">
        <x:v>43.79</x:v>
      </x:c>
      <x:c r="H39" s="23">
        <x:v>0.36</x:v>
      </x:c>
    </x:row>
    <x:row r="40" s="13" customFormat="1">
      <x:c r="A40" s="28" t="s">
        <x:v>40</x:v>
      </x:c>
      <x:c r="B40" s="28" t="s">
        <x:v>41</x:v>
      </x:c>
      <x:c r="C40" s="28" t="s">
        <x:v>42</x:v>
      </x:c>
      <x:c r="D40" s="29">
        <x:v>1000</x:v>
      </x:c>
      <x:c r="E40" s="30">
        <x:v>31.46</x:v>
      </x:c>
      <x:c r="F40" s="31">
        <x:v>0.29</x:v>
      </x:c>
      <x:c r="G40" s="30">
        <x:v>36.67</x:v>
      </x:c>
      <x:c r="H40" s="31">
        <x:v>0.26</x:v>
      </x:c>
    </x:row>
  </x:sheetData>
  <x:mergeCells>
    <x:mergeCell ref="A1:H1"/>
    <x:mergeCell ref="A2:H2"/>
  </x:mergeCells>
  <x:dataValidations count="1">
    <x:dataValidation type="decimal" operator="greaterThanOrEqual" sqref="F5:F40 H5:H40">
      <x:formula1>0</x:formula1>
    </x:dataValidation>
  </x:dataValidations>
  <x:pageMargins left="0.7" right="0.7" top="0.75" bottom="0.75" header="0.3" footer="0.3"/>
  <x:drawing xmlns:r="http://schemas.openxmlformats.org/officeDocument/2006/relationships" r:id="Rd210bed0f3e444e5"/>
  <x:tableParts count="1">
    <x:tablePart xmlns:r="http://schemas.openxmlformats.org/officeDocument/2006/relationships" r:id="R5d01cc4896b6419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83088207244873" defaultRowHeight="16.799999237060547"/>
  <x:cols>
    <x:col min="1" max="1" width="15" customWidth="1"/>
    <x:col min="2" max="2" width="10" customWidth="1"/>
    <x:col min="3" max="10" width="17" customWidth="1"/>
  </x:cols>
  <x:sheetData>
    <x:row r="1" ht="17">
      <x:c r="A1" s="6" t="s">
        <x:v>17</x:v>
      </x:c>
      <x:c r="B1" s="6" t="s">
        <x:v>20</x:v>
      </x:c>
      <x:c r="C1" s="6" t="s">
        <x:v>43</x:v>
      </x:c>
      <x:c r="D1" s="6" t="s">
        <x:v>44</x:v>
      </x:c>
      <x:c r="E1" s="6" t="s">
        <x:v>45</x:v>
      </x:c>
      <x:c r="F1" s="6" t="s">
        <x:v>46</x:v>
      </x:c>
      <x:c r="G1" s="6" t="s">
        <x:v>47</x:v>
      </x:c>
      <x:c r="H1" s="6" t="s">
        <x:v>48</x:v>
      </x:c>
      <x:c r="I1" s="6" t="s">
        <x:v>49</x:v>
      </x:c>
      <x:c r="J1" s="6" t="s">
        <x:v>50</x:v>
      </x:c>
    </x:row>
    <x:row r="2">
      <x:c r="A2" s="7" t="str">
        <x:f>Data_Input!A5</x:f>
        <x:v>qwen7b</x:v>
      </x:c>
      <x:c r="B2" s="8" t="n">
        <x:f>Data_Input!D5</x:f>
        <x:v>10</x:v>
      </x:c>
      <x:c r="C2" s="9" t="n">
        <x:f>Data_Input!E5</x:f>
        <x:v>97.16</x:v>
      </x:c>
      <x:c r="D2" s="9" t="n">
        <x:f>IF(Data_Input!F5="","",Data_Input!E5-Data_Input!F5)</x:f>
        <x:v>95.1</x:v>
      </x:c>
      <x:c r="E2" s="9" t="n">
        <x:f>IF(Data_Input!F5="","",Data_Input!E5+Data_Input!F5)</x:f>
        <x:v>99.22</x:v>
      </x:c>
      <x:c r="F2" s="9" t="n">
        <x:f>Data_Input!G5</x:f>
        <x:v>97.76</x:v>
      </x:c>
      <x:c r="G2" s="9" t="n">
        <x:f>IF(Data_Input!H5="","",Data_Input!G5-Data_Input!H5)</x:f>
        <x:v>95.59</x:v>
      </x:c>
      <x:c r="H2" s="9" t="n">
        <x:f>IF(Data_Input!H5="","",Data_Input!G5+Data_Input!H5)</x:f>
        <x:v>99.93</x:v>
      </x:c>
      <x:c r="I2" s="9" t="n">
        <x:f>Data_Input!F5</x:f>
        <x:v>2.06</x:v>
      </x:c>
      <x:c r="J2" s="9" t="n">
        <x:f>Data_Input!H5</x:f>
        <x:v>2.17</x:v>
      </x:c>
    </x:row>
    <x:row r="3">
      <x:c r="A3" s="7" t="str">
        <x:f>Data_Input!A6</x:f>
        <x:v>qwen7b</x:v>
      </x:c>
      <x:c r="B3" s="8" t="n">
        <x:f>Data_Input!D6</x:f>
        <x:v>20</x:v>
      </x:c>
      <x:c r="C3" s="9" t="n">
        <x:f>Data_Input!E6</x:f>
        <x:v>95.24</x:v>
      </x:c>
      <x:c r="D3" s="9" t="n">
        <x:f>IF(Data_Input!F6="","",Data_Input!E6-Data_Input!F6)</x:f>
        <x:v>92.89</x:v>
      </x:c>
      <x:c r="E3" s="9" t="n">
        <x:f>IF(Data_Input!F6="","",Data_Input!E6+Data_Input!F6)</x:f>
        <x:v>97.58999999999999</x:v>
      </x:c>
      <x:c r="F3" s="9" t="n">
        <x:f>Data_Input!G6</x:f>
        <x:v>96.04</x:v>
      </x:c>
      <x:c r="G3" s="9" t="n">
        <x:f>IF(Data_Input!H6="","",Data_Input!G6-Data_Input!H6)</x:f>
        <x:v>94.10000000000001</x:v>
      </x:c>
      <x:c r="H3" s="9" t="n">
        <x:f>IF(Data_Input!H6="","",Data_Input!G6+Data_Input!H6)</x:f>
        <x:v>97.98</x:v>
      </x:c>
      <x:c r="I3" s="9" t="n">
        <x:f>Data_Input!F6</x:f>
        <x:v>2.35</x:v>
      </x:c>
      <x:c r="J3" s="9" t="n">
        <x:f>Data_Input!H6</x:f>
        <x:v>1.94</x:v>
      </x:c>
    </x:row>
    <x:row r="4">
      <x:c r="A4" s="7" t="str">
        <x:f>Data_Input!A7</x:f>
        <x:v>qwen7b</x:v>
      </x:c>
      <x:c r="B4" s="8" t="n">
        <x:f>Data_Input!D7</x:f>
        <x:v>100</x:v>
      </x:c>
      <x:c r="C4" s="9" t="n">
        <x:f>Data_Input!E7</x:f>
        <x:v>84.88</x:v>
      </x:c>
      <x:c r="D4" s="9" t="n">
        <x:f>IF(Data_Input!F7="","",Data_Input!E7-Data_Input!F7)</x:f>
        <x:v>83.31</x:v>
      </x:c>
      <x:c r="E4" s="9" t="n">
        <x:f>IF(Data_Input!F7="","",Data_Input!E7+Data_Input!F7)</x:f>
        <x:v>86.44999999999999</x:v>
      </x:c>
      <x:c r="F4" s="9" t="n">
        <x:f>Data_Input!G7</x:f>
        <x:v>90</x:v>
      </x:c>
      <x:c r="G4" s="9" t="n">
        <x:f>IF(Data_Input!H7="","",Data_Input!G7-Data_Input!H7)</x:f>
        <x:v>88.21</x:v>
      </x:c>
      <x:c r="H4" s="9" t="n">
        <x:f>IF(Data_Input!H7="","",Data_Input!G7+Data_Input!H7)</x:f>
        <x:v>91.79</x:v>
      </x:c>
      <x:c r="I4" s="9" t="n">
        <x:f>Data_Input!F7</x:f>
        <x:v>1.57</x:v>
      </x:c>
      <x:c r="J4" s="9" t="n">
        <x:f>Data_Input!H7</x:f>
        <x:v>1.79</x:v>
      </x:c>
    </x:row>
    <x:row r="5">
      <x:c r="A5" s="7" t="str">
        <x:f>Data_Input!A8</x:f>
        <x:v>qwen7b</x:v>
      </x:c>
      <x:c r="B5" s="8" t="n">
        <x:f>Data_Input!D8</x:f>
        <x:v>200</x:v>
      </x:c>
      <x:c r="C5" s="9" t="n">
        <x:f>Data_Input!E8</x:f>
        <x:v>82.94</x:v>
      </x:c>
      <x:c r="D5" s="9" t="n">
        <x:f>IF(Data_Input!F8="","",Data_Input!E8-Data_Input!F8)</x:f>
        <x:v>81.92</x:v>
      </x:c>
      <x:c r="E5" s="9" t="n">
        <x:f>IF(Data_Input!F8="","",Data_Input!E8+Data_Input!F8)</x:f>
        <x:v>83.96</x:v>
      </x:c>
      <x:c r="F5" s="9" t="n">
        <x:f>Data_Input!G8</x:f>
        <x:v>85.43</x:v>
      </x:c>
      <x:c r="G5" s="9" t="n">
        <x:f>IF(Data_Input!H8="","",Data_Input!G8-Data_Input!H8)</x:f>
        <x:v>84.26</x:v>
      </x:c>
      <x:c r="H5" s="9" t="n">
        <x:f>IF(Data_Input!H8="","",Data_Input!G8+Data_Input!H8)</x:f>
        <x:v>86.60000000000001</x:v>
      </x:c>
      <x:c r="I5" s="9" t="n">
        <x:f>Data_Input!F8</x:f>
        <x:v>1.02</x:v>
      </x:c>
      <x:c r="J5" s="9" t="n">
        <x:f>Data_Input!H8</x:f>
        <x:v>1.17</x:v>
      </x:c>
    </x:row>
    <x:row r="6">
      <x:c r="A6" s="7" t="str">
        <x:f>Data_Input!A9</x:f>
        <x:v>qwen7b</x:v>
      </x:c>
      <x:c r="B6" s="8" t="n">
        <x:f>Data_Input!D9</x:f>
        <x:v>500</x:v>
      </x:c>
      <x:c r="C6" s="9" t="n">
        <x:f>Data_Input!E9</x:f>
        <x:v>70.4</x:v>
      </x:c>
      <x:c r="D6" s="9" t="n">
        <x:f>IF(Data_Input!F9="","",Data_Input!E9-Data_Input!F9)</x:f>
        <x:v>69.76</x:v>
      </x:c>
      <x:c r="E6" s="9" t="n">
        <x:f>IF(Data_Input!F9="","",Data_Input!E9+Data_Input!F9)</x:f>
        <x:v>71.04</x:v>
      </x:c>
      <x:c r="F6" s="9" t="n">
        <x:f>Data_Input!G9</x:f>
        <x:v>78.15</x:v>
      </x:c>
      <x:c r="G6" s="9" t="n">
        <x:f>IF(Data_Input!H9="","",Data_Input!G9-Data_Input!H9)</x:f>
        <x:v>77.55000000000001</x:v>
      </x:c>
      <x:c r="H6" s="9" t="n">
        <x:f>IF(Data_Input!H9="","",Data_Input!G9+Data_Input!H9)</x:f>
        <x:v>78.75</x:v>
      </x:c>
      <x:c r="I6" s="9" t="n">
        <x:f>Data_Input!F9</x:f>
        <x:v>0.64</x:v>
      </x:c>
      <x:c r="J6" s="9" t="n">
        <x:f>Data_Input!H9</x:f>
        <x:v>0.6</x:v>
      </x:c>
    </x:row>
    <x:row r="7">
      <x:c r="A7" s="7" t="str">
        <x:f>Data_Input!A10</x:f>
        <x:v>qwen7b</x:v>
      </x:c>
      <x:c r="B7" s="8" t="n">
        <x:f>Data_Input!D10</x:f>
        <x:v>1000</x:v>
      </x:c>
      <x:c r="C7" s="9" t="n">
        <x:f>Data_Input!E10</x:f>
        <x:v>61.8</x:v>
      </x:c>
      <x:c r="D7" s="9" t="n">
        <x:f>IF(Data_Input!F10="","",Data_Input!E10-Data_Input!F10)</x:f>
        <x:v>61.07</x:v>
      </x:c>
      <x:c r="E7" s="9" t="n">
        <x:f>IF(Data_Input!F10="","",Data_Input!E10+Data_Input!F10)</x:f>
        <x:v>62.529999999999994</x:v>
      </x:c>
      <x:c r="F7" s="9" t="n">
        <x:f>Data_Input!G10</x:f>
        <x:v>71.57</x:v>
      </x:c>
      <x:c r="G7" s="9" t="n">
        <x:f>IF(Data_Input!H10="","",Data_Input!G10-Data_Input!H10)</x:f>
        <x:v>70.88999999999999</x:v>
      </x:c>
      <x:c r="H7" s="9" t="n">
        <x:f>IF(Data_Input!H10="","",Data_Input!G10+Data_Input!H10)</x:f>
        <x:v>72.25</x:v>
      </x:c>
      <x:c r="I7" s="9" t="n">
        <x:f>Data_Input!F10</x:f>
        <x:v>0.73</x:v>
      </x:c>
      <x:c r="J7" s="9" t="n">
        <x:f>Data_Input!H10</x:f>
        <x:v>0.68</x:v>
      </x:c>
    </x:row>
    <x:row r="8">
      <x:c r="A8" s="7" t="str">
        <x:f>Data_Input!A11</x:f>
        <x:v>qwen2b</x:v>
      </x:c>
      <x:c r="B8" s="8" t="n">
        <x:f>Data_Input!D11</x:f>
        <x:v>10</x:v>
      </x:c>
      <x:c r="C8" s="9" t="n">
        <x:f>Data_Input!E11</x:f>
        <x:v>95.8</x:v>
      </x:c>
      <x:c r="D8" s="9" t="n">
        <x:f>IF(Data_Input!F11="","",Data_Input!E11-Data_Input!F11)</x:f>
        <x:v>93.92999999999999</x:v>
      </x:c>
      <x:c r="E8" s="9" t="n">
        <x:f>IF(Data_Input!F11="","",Data_Input!E11+Data_Input!F11)</x:f>
        <x:v>97.67</x:v>
      </x:c>
      <x:c r="F8" s="9" t="n">
        <x:f>Data_Input!G11</x:f>
        <x:v>92.92</x:v>
      </x:c>
      <x:c r="G8" s="9" t="n">
        <x:f>IF(Data_Input!H11="","",Data_Input!G11-Data_Input!H11)</x:f>
        <x:v>91.07000000000001</x:v>
      </x:c>
      <x:c r="H8" s="9" t="n">
        <x:f>IF(Data_Input!H11="","",Data_Input!G11+Data_Input!H11)</x:f>
        <x:v>94.77</x:v>
      </x:c>
      <x:c r="I8" s="9" t="n">
        <x:f>Data_Input!F11</x:f>
        <x:v>1.87</x:v>
      </x:c>
      <x:c r="J8" s="9" t="n">
        <x:f>Data_Input!H11</x:f>
        <x:v>1.85</x:v>
      </x:c>
    </x:row>
    <x:row r="9">
      <x:c r="A9" s="7" t="str">
        <x:f>Data_Input!A12</x:f>
        <x:v>qwen2b</x:v>
      </x:c>
      <x:c r="B9" s="8" t="n">
        <x:f>Data_Input!D12</x:f>
        <x:v>20</x:v>
      </x:c>
      <x:c r="C9" s="9" t="n">
        <x:f>Data_Input!E12</x:f>
        <x:v>89.86</x:v>
      </x:c>
      <x:c r="D9" s="9" t="n">
        <x:f>IF(Data_Input!F12="","",Data_Input!E12-Data_Input!F12)</x:f>
        <x:v>88.02</x:v>
      </x:c>
      <x:c r="E9" s="9" t="n">
        <x:f>IF(Data_Input!F12="","",Data_Input!E12+Data_Input!F12)</x:f>
        <x:v>91.7</x:v>
      </x:c>
      <x:c r="F9" s="9" t="n">
        <x:f>Data_Input!G12</x:f>
        <x:v>89.14</x:v>
      </x:c>
      <x:c r="G9" s="9" t="n">
        <x:f>IF(Data_Input!H12="","",Data_Input!G12-Data_Input!H12)</x:f>
        <x:v>87.64</x:v>
      </x:c>
      <x:c r="H9" s="9" t="n">
        <x:f>IF(Data_Input!H12="","",Data_Input!G12+Data_Input!H12)</x:f>
        <x:v>90.64</x:v>
      </x:c>
      <x:c r="I9" s="9" t="n">
        <x:f>Data_Input!F12</x:f>
        <x:v>1.84</x:v>
      </x:c>
      <x:c r="J9" s="9" t="n">
        <x:f>Data_Input!H12</x:f>
        <x:v>1.5</x:v>
      </x:c>
    </x:row>
    <x:row r="10">
      <x:c r="A10" s="7" t="str">
        <x:f>Data_Input!A13</x:f>
        <x:v>qwen2b</x:v>
      </x:c>
      <x:c r="B10" s="8" t="n">
        <x:f>Data_Input!D13</x:f>
        <x:v>100</x:v>
      </x:c>
      <x:c r="C10" s="9" t="n">
        <x:f>Data_Input!E13</x:f>
        <x:v>75.31</x:v>
      </x:c>
      <x:c r="D10" s="9" t="n">
        <x:f>IF(Data_Input!F13="","",Data_Input!E13-Data_Input!F13)</x:f>
        <x:v>73.71000000000001</x:v>
      </x:c>
      <x:c r="E10" s="9" t="n">
        <x:f>IF(Data_Input!F13="","",Data_Input!E13+Data_Input!F13)</x:f>
        <x:v>76.91</x:v>
      </x:c>
      <x:c r="F10" s="9" t="n">
        <x:f>Data_Input!G13</x:f>
        <x:v>76.19</x:v>
      </x:c>
      <x:c r="G10" s="9" t="n">
        <x:f>IF(Data_Input!H13="","",Data_Input!G13-Data_Input!H13)</x:f>
        <x:v>74.86</x:v>
      </x:c>
      <x:c r="H10" s="9" t="n">
        <x:f>IF(Data_Input!H13="","",Data_Input!G13+Data_Input!H13)</x:f>
        <x:v>77.52</x:v>
      </x:c>
      <x:c r="I10" s="9" t="n">
        <x:f>Data_Input!F13</x:f>
        <x:v>1.6</x:v>
      </x:c>
      <x:c r="J10" s="9" t="n">
        <x:f>Data_Input!H13</x:f>
        <x:v>1.33</x:v>
      </x:c>
    </x:row>
    <x:row r="11">
      <x:c r="A11" s="7" t="str">
        <x:f>Data_Input!A14</x:f>
        <x:v>qwen2b</x:v>
      </x:c>
      <x:c r="B11" s="8" t="n">
        <x:f>Data_Input!D14</x:f>
        <x:v>200</x:v>
      </x:c>
      <x:c r="C11" s="9" t="n">
        <x:f>Data_Input!E14</x:f>
        <x:v>66.28</x:v>
      </x:c>
      <x:c r="D11" s="9" t="n">
        <x:f>IF(Data_Input!F14="","",Data_Input!E14-Data_Input!F14)</x:f>
        <x:v>65.17</x:v>
      </x:c>
      <x:c r="E11" s="9" t="n">
        <x:f>IF(Data_Input!F14="","",Data_Input!E14+Data_Input!F14)</x:f>
        <x:v>67.39</x:v>
      </x:c>
      <x:c r="F11" s="9" t="n">
        <x:f>Data_Input!G14</x:f>
        <x:v>67.09</x:v>
      </x:c>
      <x:c r="G11" s="9" t="n">
        <x:f>IF(Data_Input!H14="","",Data_Input!G14-Data_Input!H14)</x:f>
        <x:v>65.75</x:v>
      </x:c>
      <x:c r="H11" s="9" t="n">
        <x:f>IF(Data_Input!H14="","",Data_Input!G14+Data_Input!H14)</x:f>
        <x:v>68.43</x:v>
      </x:c>
      <x:c r="I11" s="9" t="n">
        <x:f>Data_Input!F14</x:f>
        <x:v>1.11</x:v>
      </x:c>
      <x:c r="J11" s="9" t="n">
        <x:f>Data_Input!H14</x:f>
        <x:v>1.34</x:v>
      </x:c>
    </x:row>
    <x:row r="12">
      <x:c r="A12" s="7" t="str">
        <x:f>Data_Input!A15</x:f>
        <x:v>qwen2b</x:v>
      </x:c>
      <x:c r="B12" s="8" t="n">
        <x:f>Data_Input!D15</x:f>
        <x:v>500</x:v>
      </x:c>
      <x:c r="C12" s="9" t="n">
        <x:f>Data_Input!E15</x:f>
        <x:v>53.12</x:v>
      </x:c>
      <x:c r="D12" s="9" t="n">
        <x:f>IF(Data_Input!F15="","",Data_Input!E15-Data_Input!F15)</x:f>
        <x:v>52.349999999999994</x:v>
      </x:c>
      <x:c r="E12" s="9" t="n">
        <x:f>IF(Data_Input!F15="","",Data_Input!E15+Data_Input!F15)</x:f>
        <x:v>53.89</x:v>
      </x:c>
      <x:c r="F12" s="9" t="n">
        <x:f>Data_Input!G15</x:f>
        <x:v>55.18</x:v>
      </x:c>
      <x:c r="G12" s="9" t="n">
        <x:f>IF(Data_Input!H15="","",Data_Input!G15-Data_Input!H15)</x:f>
        <x:v>54.57</x:v>
      </x:c>
      <x:c r="H12" s="9" t="n">
        <x:f>IF(Data_Input!H15="","",Data_Input!G15+Data_Input!H15)</x:f>
        <x:v>55.79</x:v>
      </x:c>
      <x:c r="I12" s="9" t="n">
        <x:f>Data_Input!F15</x:f>
        <x:v>0.77</x:v>
      </x:c>
      <x:c r="J12" s="9" t="n">
        <x:f>Data_Input!H15</x:f>
        <x:v>0.61</x:v>
      </x:c>
    </x:row>
    <x:row r="13">
      <x:c r="A13" s="7" t="str">
        <x:f>Data_Input!A16</x:f>
        <x:v>qwen2b</x:v>
      </x:c>
      <x:c r="B13" s="8" t="n">
        <x:f>Data_Input!D16</x:f>
        <x:v>1000</x:v>
      </x:c>
      <x:c r="C13" s="9" t="n">
        <x:f>Data_Input!E16</x:f>
        <x:v>40.54</x:v>
      </x:c>
      <x:c r="D13" s="9" t="n">
        <x:f>IF(Data_Input!F16="","",Data_Input!E16-Data_Input!F16)</x:f>
        <x:v>40.18</x:v>
      </x:c>
      <x:c r="E13" s="9" t="n">
        <x:f>IF(Data_Input!F16="","",Data_Input!E16+Data_Input!F16)</x:f>
        <x:v>40.9</x:v>
      </x:c>
      <x:c r="F13" s="9" t="n">
        <x:f>Data_Input!G16</x:f>
        <x:v>51.36</x:v>
      </x:c>
      <x:c r="G13" s="9" t="n">
        <x:f>IF(Data_Input!H16="","",Data_Input!G16-Data_Input!H16)</x:f>
        <x:v>51.04</x:v>
      </x:c>
      <x:c r="H13" s="9" t="n">
        <x:f>IF(Data_Input!H16="","",Data_Input!G16+Data_Input!H16)</x:f>
        <x:v>51.68</x:v>
      </x:c>
      <x:c r="I13" s="9" t="n">
        <x:f>Data_Input!F16</x:f>
        <x:v>0.36</x:v>
      </x:c>
      <x:c r="J13" s="9" t="n">
        <x:f>Data_Input!H16</x:f>
        <x:v>0.32</x:v>
      </x:c>
    </x:row>
    <x:row r="14">
      <x:c r="A14" s="7" t="str">
        <x:f>Data_Input!A17</x:f>
        <x:v>qwen8b</x:v>
      </x:c>
      <x:c r="B14" s="8" t="n">
        <x:f>Data_Input!D17</x:f>
        <x:v>10</x:v>
      </x:c>
      <x:c r="C14" s="9" t="n">
        <x:f>Data_Input!E17</x:f>
        <x:v>97.04</x:v>
      </x:c>
      <x:c r="D14" s="9" t="n">
        <x:f>IF(Data_Input!F17="","",Data_Input!E17-Data_Input!F17)</x:f>
        <x:v>94.95</x:v>
      </x:c>
      <x:c r="E14" s="9" t="n">
        <x:f>IF(Data_Input!F17="","",Data_Input!E17+Data_Input!F17)</x:f>
        <x:v>99.13000000000001</x:v>
      </x:c>
      <x:c r="F14" s="9" t="n">
        <x:f>Data_Input!G17</x:f>
        <x:v>97.08</x:v>
      </x:c>
      <x:c r="G14" s="9" t="n">
        <x:f>IF(Data_Input!H17="","",Data_Input!G17-Data_Input!H17)</x:f>
        <x:v>95.27</x:v>
      </x:c>
      <x:c r="H14" s="9" t="n">
        <x:f>IF(Data_Input!H17="","",Data_Input!G17+Data_Input!H17)</x:f>
        <x:v>98.89</x:v>
      </x:c>
      <x:c r="I14" s="9" t="n">
        <x:f>Data_Input!F17</x:f>
        <x:v>2.09</x:v>
      </x:c>
      <x:c r="J14" s="9" t="n">
        <x:f>Data_Input!H17</x:f>
        <x:v>1.81</x:v>
      </x:c>
    </x:row>
    <x:row r="15">
      <x:c r="A15" s="7" t="str">
        <x:f>Data_Input!A18</x:f>
        <x:v>qwen8b</x:v>
      </x:c>
      <x:c r="B15" s="8" t="n">
        <x:f>Data_Input!D18</x:f>
        <x:v>20</x:v>
      </x:c>
      <x:c r="C15" s="9" t="n">
        <x:f>Data_Input!E18</x:f>
        <x:v>96.8</x:v>
      </x:c>
      <x:c r="D15" s="9" t="n">
        <x:f>IF(Data_Input!F18="","",Data_Input!E18-Data_Input!F18)</x:f>
        <x:v>94.97</x:v>
      </x:c>
      <x:c r="E15" s="9" t="n">
        <x:f>IF(Data_Input!F18="","",Data_Input!E18+Data_Input!F18)</x:f>
        <x:v>98.63</x:v>
      </x:c>
      <x:c r="F15" s="9" t="n">
        <x:f>Data_Input!G18</x:f>
        <x:v>97.62</x:v>
      </x:c>
      <x:c r="G15" s="9" t="n">
        <x:f>IF(Data_Input!H18="","",Data_Input!G18-Data_Input!H18)</x:f>
        <x:v>95.69</x:v>
      </x:c>
      <x:c r="H15" s="9" t="n">
        <x:f>IF(Data_Input!H18="","",Data_Input!G18+Data_Input!H18)</x:f>
        <x:v>99.55000000000001</x:v>
      </x:c>
      <x:c r="I15" s="9" t="n">
        <x:f>Data_Input!F18</x:f>
        <x:v>1.83</x:v>
      </x:c>
      <x:c r="J15" s="9" t="n">
        <x:f>Data_Input!H18</x:f>
        <x:v>1.93</x:v>
      </x:c>
    </x:row>
    <x:row r="16">
      <x:c r="A16" s="7" t="str">
        <x:f>Data_Input!A19</x:f>
        <x:v>qwen8b</x:v>
      </x:c>
      <x:c r="B16" s="8" t="n">
        <x:f>Data_Input!D19</x:f>
        <x:v>100</x:v>
      </x:c>
      <x:c r="C16" s="9" t="n">
        <x:f>Data_Input!E19</x:f>
        <x:v>91.02</x:v>
      </x:c>
      <x:c r="D16" s="9" t="n">
        <x:f>IF(Data_Input!F19="","",Data_Input!E19-Data_Input!F19)</x:f>
        <x:v>90.16</x:v>
      </x:c>
      <x:c r="E16" s="9" t="n">
        <x:f>IF(Data_Input!F19="","",Data_Input!E19+Data_Input!F19)</x:f>
        <x:v>91.88</x:v>
      </x:c>
      <x:c r="F16" s="9" t="n">
        <x:f>Data_Input!G19</x:f>
        <x:v>91.79</x:v>
      </x:c>
      <x:c r="G16" s="9" t="n">
        <x:f>IF(Data_Input!H19="","",Data_Input!G19-Data_Input!H19)</x:f>
        <x:v>90.13000000000001</x:v>
      </x:c>
      <x:c r="H16" s="9" t="n">
        <x:f>IF(Data_Input!H19="","",Data_Input!G19+Data_Input!H19)</x:f>
        <x:v>93.45</x:v>
      </x:c>
      <x:c r="I16" s="9" t="n">
        <x:f>Data_Input!F19</x:f>
        <x:v>0.86</x:v>
      </x:c>
      <x:c r="J16" s="9" t="n">
        <x:f>Data_Input!H19</x:f>
        <x:v>1.66</x:v>
      </x:c>
    </x:row>
    <x:row r="17">
      <x:c r="A17" s="7" t="str">
        <x:f>Data_Input!A20</x:f>
        <x:v>qwen8b</x:v>
      </x:c>
      <x:c r="B17" s="8" t="n">
        <x:f>Data_Input!D20</x:f>
        <x:v>200</x:v>
      </x:c>
      <x:c r="C17" s="9" t="n">
        <x:f>Data_Input!E20</x:f>
        <x:v>84.24</x:v>
      </x:c>
      <x:c r="D17" s="9" t="n">
        <x:f>IF(Data_Input!F20="","",Data_Input!E20-Data_Input!F20)</x:f>
        <x:v>83.5</x:v>
      </x:c>
      <x:c r="E17" s="9" t="n">
        <x:f>IF(Data_Input!F20="","",Data_Input!E20+Data_Input!F20)</x:f>
        <x:v>84.97999999999999</x:v>
      </x:c>
      <x:c r="F17" s="9" t="n">
        <x:f>Data_Input!G20</x:f>
        <x:v>86.62</x:v>
      </x:c>
      <x:c r="G17" s="9" t="n">
        <x:f>IF(Data_Input!H20="","",Data_Input!G20-Data_Input!H20)</x:f>
        <x:v>86.03</x:v>
      </x:c>
      <x:c r="H17" s="9" t="n">
        <x:f>IF(Data_Input!H20="","",Data_Input!G20+Data_Input!H20)</x:f>
        <x:v>87.21000000000001</x:v>
      </x:c>
      <x:c r="I17" s="9" t="n">
        <x:f>Data_Input!F20</x:f>
        <x:v>0.74</x:v>
      </x:c>
      <x:c r="J17" s="9" t="n">
        <x:f>Data_Input!H20</x:f>
        <x:v>0.59</x:v>
      </x:c>
    </x:row>
    <x:row r="18">
      <x:c r="A18" s="7" t="str">
        <x:f>Data_Input!A21</x:f>
        <x:v>qwen8b</x:v>
      </x:c>
      <x:c r="B18" s="8" t="n">
        <x:f>Data_Input!D21</x:f>
        <x:v>500</x:v>
      </x:c>
      <x:c r="C18" s="9" t="n">
        <x:f>Data_Input!E21</x:f>
        <x:v>76.56</x:v>
      </x:c>
      <x:c r="D18" s="9" t="n">
        <x:f>IF(Data_Input!F21="","",Data_Input!E21-Data_Input!F21)</x:f>
        <x:v>76.07000000000001</x:v>
      </x:c>
      <x:c r="E18" s="9" t="n">
        <x:f>IF(Data_Input!F21="","",Data_Input!E21+Data_Input!F21)</x:f>
        <x:v>77.05</x:v>
      </x:c>
      <x:c r="F18" s="9" t="n">
        <x:f>Data_Input!G21</x:f>
        <x:v>78.56</x:v>
      </x:c>
      <x:c r="G18" s="9" t="n">
        <x:f>IF(Data_Input!H21="","",Data_Input!G21-Data_Input!H21)</x:f>
        <x:v>78.08</x:v>
      </x:c>
      <x:c r="H18" s="9" t="n">
        <x:f>IF(Data_Input!H21="","",Data_Input!G21+Data_Input!H21)</x:f>
        <x:v>79.04</x:v>
      </x:c>
      <x:c r="I18" s="9" t="n">
        <x:f>Data_Input!F21</x:f>
        <x:v>0.49</x:v>
      </x:c>
      <x:c r="J18" s="9" t="n">
        <x:f>Data_Input!H21</x:f>
        <x:v>0.48</x:v>
      </x:c>
    </x:row>
    <x:row r="19">
      <x:c r="A19" s="7" t="str">
        <x:f>Data_Input!A22</x:f>
        <x:v>qwen8b</x:v>
      </x:c>
      <x:c r="B19" s="8" t="n">
        <x:f>Data_Input!D22</x:f>
        <x:v>1000</x:v>
      </x:c>
      <x:c r="C19" s="9" t="n">
        <x:f>Data_Input!E22</x:f>
        <x:v>67.56</x:v>
      </x:c>
      <x:c r="D19" s="9" t="n">
        <x:f>IF(Data_Input!F22="","",Data_Input!E22-Data_Input!F22)</x:f>
        <x:v>67.18</x:v>
      </x:c>
      <x:c r="E19" s="9" t="n">
        <x:f>IF(Data_Input!F22="","",Data_Input!E22+Data_Input!F22)</x:f>
        <x:v>67.94</x:v>
      </x:c>
      <x:c r="F19" s="9" t="n">
        <x:f>Data_Input!G22</x:f>
        <x:v>71.16</x:v>
      </x:c>
      <x:c r="G19" s="9" t="n">
        <x:f>IF(Data_Input!H22="","",Data_Input!G22-Data_Input!H22)</x:f>
        <x:v>70.72</x:v>
      </x:c>
      <x:c r="H19" s="9" t="n">
        <x:f>IF(Data_Input!H22="","",Data_Input!G22+Data_Input!H22)</x:f>
        <x:v>71.6</x:v>
      </x:c>
      <x:c r="I19" s="9" t="n">
        <x:f>Data_Input!F22</x:f>
        <x:v>0.38</x:v>
      </x:c>
      <x:c r="J19" s="9" t="n">
        <x:f>Data_Input!H22</x:f>
        <x:v>0.44</x:v>
      </x:c>
    </x:row>
    <x:row r="20">
      <x:c r="A20" s="7" t="str">
        <x:f>Data_Input!A23</x:f>
        <x:v>deepseek</x:v>
      </x:c>
      <x:c r="B20" s="8" t="n">
        <x:f>Data_Input!D23</x:f>
        <x:v>10</x:v>
      </x:c>
      <x:c r="C20" s="9" t="n">
        <x:f>Data_Input!E23</x:f>
        <x:v>68.72</x:v>
      </x:c>
      <x:c r="D20" s="9" t="n">
        <x:f>IF(Data_Input!F23="","",Data_Input!E23-Data_Input!F23)</x:f>
        <x:v>66.83</x:v>
      </x:c>
      <x:c r="E20" s="9" t="n">
        <x:f>IF(Data_Input!F23="","",Data_Input!E23+Data_Input!F23)</x:f>
        <x:v>70.61</x:v>
      </x:c>
      <x:c r="F20" s="9" t="n">
        <x:f>Data_Input!G23</x:f>
        <x:v>67.04</x:v>
      </x:c>
      <x:c r="G20" s="9" t="n">
        <x:f>IF(Data_Input!H23="","",Data_Input!G23-Data_Input!H23)</x:f>
        <x:v>65.31</x:v>
      </x:c>
      <x:c r="H20" s="9" t="n">
        <x:f>IF(Data_Input!H23="","",Data_Input!G23+Data_Input!H23)</x:f>
        <x:v>68.77000000000001</x:v>
      </x:c>
      <x:c r="I20" s="9" t="n">
        <x:f>Data_Input!F23</x:f>
        <x:v>1.89</x:v>
      </x:c>
      <x:c r="J20" s="9" t="n">
        <x:f>Data_Input!H23</x:f>
        <x:v>1.73</x:v>
      </x:c>
    </x:row>
    <x:row r="21">
      <x:c r="A21" s="7" t="str">
        <x:f>Data_Input!A24</x:f>
        <x:v>deepseek</x:v>
      </x:c>
      <x:c r="B21" s="8" t="n">
        <x:f>Data_Input!D24</x:f>
        <x:v>20</x:v>
      </x:c>
      <x:c r="C21" s="9" t="n">
        <x:f>Data_Input!E24</x:f>
        <x:v>49</x:v>
      </x:c>
      <x:c r="D21" s="9" t="n">
        <x:f>IF(Data_Input!F24="","",Data_Input!E24-Data_Input!F24)</x:f>
        <x:v>47.7</x:v>
      </x:c>
      <x:c r="E21" s="9" t="n">
        <x:f>IF(Data_Input!F24="","",Data_Input!E24+Data_Input!F24)</x:f>
        <x:v>50.3</x:v>
      </x:c>
      <x:c r="F21" s="9" t="n">
        <x:f>Data_Input!G24</x:f>
        <x:v>56.02</x:v>
      </x:c>
      <x:c r="G21" s="9" t="n">
        <x:f>IF(Data_Input!H24="","",Data_Input!G24-Data_Input!H24)</x:f>
        <x:v>54.650000000000006</x:v>
      </x:c>
      <x:c r="H21" s="9" t="n">
        <x:f>IF(Data_Input!H24="","",Data_Input!G24+Data_Input!H24)</x:f>
        <x:v>57.39</x:v>
      </x:c>
      <x:c r="I21" s="9" t="n">
        <x:f>Data_Input!F24</x:f>
        <x:v>1.3</x:v>
      </x:c>
      <x:c r="J21" s="9" t="n">
        <x:f>Data_Input!H24</x:f>
        <x:v>1.37</x:v>
      </x:c>
    </x:row>
    <x:row r="22">
      <x:c r="A22" s="7" t="str">
        <x:f>Data_Input!A25</x:f>
        <x:v>deepseek</x:v>
      </x:c>
      <x:c r="B22" s="8" t="n">
        <x:f>Data_Input!D25</x:f>
        <x:v>100</x:v>
      </x:c>
      <x:c r="C22" s="9" t="n">
        <x:f>Data_Input!E25</x:f>
        <x:v>17.84</x:v>
      </x:c>
      <x:c r="D22" s="9" t="n">
        <x:f>IF(Data_Input!F25="","",Data_Input!E25-Data_Input!F25)</x:f>
        <x:v>16.97</x:v>
      </x:c>
      <x:c r="E22" s="9" t="n">
        <x:f>IF(Data_Input!F25="","",Data_Input!E25+Data_Input!F25)</x:f>
        <x:v>18.71</x:v>
      </x:c>
      <x:c r="F22" s="9" t="n">
        <x:f>Data_Input!G25</x:f>
        <x:v>39.58</x:v>
      </x:c>
      <x:c r="G22" s="9" t="n">
        <x:f>IF(Data_Input!H25="","",Data_Input!G25-Data_Input!H25)</x:f>
        <x:v>38.53</x:v>
      </x:c>
      <x:c r="H22" s="9" t="n">
        <x:f>IF(Data_Input!H25="","",Data_Input!G25+Data_Input!H25)</x:f>
        <x:v>40.629999999999995</x:v>
      </x:c>
      <x:c r="I22" s="9" t="n">
        <x:f>Data_Input!F25</x:f>
        <x:v>0.87</x:v>
      </x:c>
      <x:c r="J22" s="9" t="n">
        <x:f>Data_Input!H25</x:f>
        <x:v>1.05</x:v>
      </x:c>
    </x:row>
    <x:row r="23">
      <x:c r="A23" s="7" t="str">
        <x:f>Data_Input!A26</x:f>
        <x:v>deepseek</x:v>
      </x:c>
      <x:c r="B23" s="8" t="n">
        <x:f>Data_Input!D26</x:f>
        <x:v>200</x:v>
      </x:c>
      <x:c r="C23" s="9" t="n">
        <x:f>Data_Input!E26</x:f>
        <x:v>7.21</x:v>
      </x:c>
      <x:c r="D23" s="9" t="n">
        <x:f>IF(Data_Input!F26="","",Data_Input!E26-Data_Input!F26)</x:f>
        <x:v>6.49</x:v>
      </x:c>
      <x:c r="E23" s="9" t="n">
        <x:f>IF(Data_Input!F26="","",Data_Input!E26+Data_Input!F26)</x:f>
        <x:v>7.93</x:v>
      </x:c>
      <x:c r="F23" s="9" t="n">
        <x:f>Data_Input!G26</x:f>
        <x:v>31.46</x:v>
      </x:c>
      <x:c r="G23" s="9" t="n">
        <x:f>IF(Data_Input!H26="","",Data_Input!G26-Data_Input!H26)</x:f>
        <x:v>30.810000000000002</x:v>
      </x:c>
      <x:c r="H23" s="9" t="n">
        <x:f>IF(Data_Input!H26="","",Data_Input!G26+Data_Input!H26)</x:f>
        <x:v>32.11</x:v>
      </x:c>
      <x:c r="I23" s="9" t="n">
        <x:f>Data_Input!F26</x:f>
        <x:v>0.72</x:v>
      </x:c>
      <x:c r="J23" s="9" t="n">
        <x:f>Data_Input!H26</x:f>
        <x:v>0.65</x:v>
      </x:c>
    </x:row>
    <x:row r="24">
      <x:c r="A24" s="7" t="str">
        <x:f>Data_Input!A27</x:f>
        <x:v>deepseek</x:v>
      </x:c>
      <x:c r="B24" s="8" t="n">
        <x:f>Data_Input!D27</x:f>
        <x:v>500</x:v>
      </x:c>
      <x:c r="C24" s="9" t="n">
        <x:f>Data_Input!E27</x:f>
        <x:v>2.2</x:v>
      </x:c>
      <x:c r="D24" s="9" t="n">
        <x:f>IF(Data_Input!F27="","",Data_Input!E27-Data_Input!F27)</x:f>
        <x:v>1.7200000000000002</x:v>
      </x:c>
      <x:c r="E24" s="9" t="n">
        <x:f>IF(Data_Input!F27="","",Data_Input!E27+Data_Input!F27)</x:f>
        <x:v>2.68</x:v>
      </x:c>
      <x:c r="F24" s="9" t="n">
        <x:f>Data_Input!G27</x:f>
        <x:v>21.44</x:v>
      </x:c>
      <x:c r="G24" s="9" t="n">
        <x:f>IF(Data_Input!H27="","",Data_Input!G27-Data_Input!H27)</x:f>
        <x:v>21.080000000000002</x:v>
      </x:c>
      <x:c r="H24" s="9" t="n">
        <x:f>IF(Data_Input!H27="","",Data_Input!G27+Data_Input!H27)</x:f>
        <x:v>21.8</x:v>
      </x:c>
      <x:c r="I24" s="9" t="n">
        <x:f>Data_Input!F27</x:f>
        <x:v>0.48</x:v>
      </x:c>
      <x:c r="J24" s="9" t="n">
        <x:f>Data_Input!H27</x:f>
        <x:v>0.36</x:v>
      </x:c>
    </x:row>
    <x:row r="25">
      <x:c r="A25" s="7" t="str">
        <x:f>Data_Input!A28</x:f>
        <x:v>deepseek</x:v>
      </x:c>
      <x:c r="B25" s="8" t="n">
        <x:f>Data_Input!D28</x:f>
        <x:v>1000</x:v>
      </x:c>
      <x:c r="C25" s="9" t="n">
        <x:f>Data_Input!E28</x:f>
        <x:v>0.5</x:v>
      </x:c>
      <x:c r="D25" s="9" t="n">
        <x:f>IF(Data_Input!F28="","",Data_Input!E28-Data_Input!F28)</x:f>
        <x:v>0.16999999999999998</x:v>
      </x:c>
      <x:c r="E25" s="9" t="n">
        <x:f>IF(Data_Input!F28="","",Data_Input!E28+Data_Input!F28)</x:f>
        <x:v>0.8300000000000001</x:v>
      </x:c>
      <x:c r="F25" s="9" t="n">
        <x:f>Data_Input!G28</x:f>
        <x:v>19.04</x:v>
      </x:c>
      <x:c r="G25" s="9" t="n">
        <x:f>IF(Data_Input!H28="","",Data_Input!G28-Data_Input!H28)</x:f>
        <x:v>18.64</x:v>
      </x:c>
      <x:c r="H25" s="9" t="n">
        <x:f>IF(Data_Input!H28="","",Data_Input!G28+Data_Input!H28)</x:f>
        <x:v>19.439999999999998</x:v>
      </x:c>
      <x:c r="I25" s="9" t="n">
        <x:f>Data_Input!F28</x:f>
        <x:v>0.33</x:v>
      </x:c>
      <x:c r="J25" s="9" t="n">
        <x:f>Data_Input!H28</x:f>
        <x:v>0.4</x:v>
      </x:c>
    </x:row>
    <x:row r="26">
      <x:c r="A26" s="7" t="str">
        <x:f>Data_Input!A29</x:f>
        <x:v>kimi</x:v>
      </x:c>
      <x:c r="B26" s="8" t="n">
        <x:f>Data_Input!D29</x:f>
        <x:v>10</x:v>
      </x:c>
      <x:c r="C26" s="9" t="n">
        <x:f>Data_Input!E29</x:f>
        <x:v>94.28</x:v>
      </x:c>
      <x:c r="D26" s="9" t="n">
        <x:f>IF(Data_Input!F29="","",Data_Input!E29-Data_Input!F29)</x:f>
        <x:v>92.45</x:v>
      </x:c>
      <x:c r="E26" s="9" t="n">
        <x:f>IF(Data_Input!F29="","",Data_Input!E29+Data_Input!F29)</x:f>
        <x:v>96.11</x:v>
      </x:c>
      <x:c r="F26" s="9" t="n">
        <x:f>Data_Input!G29</x:f>
        <x:v>93.16</x:v>
      </x:c>
      <x:c r="G26" s="9" t="n">
        <x:f>IF(Data_Input!H29="","",Data_Input!G29-Data_Input!H29)</x:f>
        <x:v>91.44</x:v>
      </x:c>
      <x:c r="H26" s="9" t="n">
        <x:f>IF(Data_Input!H29="","",Data_Input!G29+Data_Input!H29)</x:f>
        <x:v>94.88</x:v>
      </x:c>
      <x:c r="I26" s="9" t="n">
        <x:f>Data_Input!F29</x:f>
        <x:v>1.83</x:v>
      </x:c>
      <x:c r="J26" s="9" t="n">
        <x:f>Data_Input!H29</x:f>
        <x:v>1.72</x:v>
      </x:c>
    </x:row>
    <x:row r="27">
      <x:c r="A27" s="7" t="str">
        <x:f>Data_Input!A30</x:f>
        <x:v>kimi</x:v>
      </x:c>
      <x:c r="B27" s="8" t="n">
        <x:f>Data_Input!D30</x:f>
        <x:v>20</x:v>
      </x:c>
      <x:c r="C27" s="9" t="n">
        <x:f>Data_Input!E30</x:f>
        <x:v>87.7</x:v>
      </x:c>
      <x:c r="D27" s="9" t="n">
        <x:f>IF(Data_Input!F30="","",Data_Input!E30-Data_Input!F30)</x:f>
        <x:v>86.08</x:v>
      </x:c>
      <x:c r="E27" s="9" t="n">
        <x:f>IF(Data_Input!F30="","",Data_Input!E30+Data_Input!F30)</x:f>
        <x:v>89.32000000000001</x:v>
      </x:c>
      <x:c r="F27" s="9" t="n">
        <x:f>Data_Input!G30</x:f>
        <x:v>83.86</x:v>
      </x:c>
      <x:c r="G27" s="9" t="n">
        <x:f>IF(Data_Input!H30="","",Data_Input!G30-Data_Input!H30)</x:f>
        <x:v>82.58</x:v>
      </x:c>
      <x:c r="H27" s="9" t="n">
        <x:f>IF(Data_Input!H30="","",Data_Input!G30+Data_Input!H30)</x:f>
        <x:v>85.14</x:v>
      </x:c>
      <x:c r="I27" s="9" t="n">
        <x:f>Data_Input!F30</x:f>
        <x:v>1.62</x:v>
      </x:c>
      <x:c r="J27" s="9" t="n">
        <x:f>Data_Input!H30</x:f>
        <x:v>1.28</x:v>
      </x:c>
    </x:row>
    <x:row r="28">
      <x:c r="A28" s="7" t="str">
        <x:f>Data_Input!A31</x:f>
        <x:v>kimi</x:v>
      </x:c>
      <x:c r="B28" s="8" t="n">
        <x:f>Data_Input!D31</x:f>
        <x:v>100</x:v>
      </x:c>
      <x:c r="C28" s="9" t="n">
        <x:f>Data_Input!E31</x:f>
        <x:v>63.72</x:v>
      </x:c>
      <x:c r="D28" s="9" t="n">
        <x:f>IF(Data_Input!F31="","",Data_Input!E31-Data_Input!F31)</x:f>
        <x:v>62.39</x:v>
      </x:c>
      <x:c r="E28" s="9" t="n">
        <x:f>IF(Data_Input!F31="","",Data_Input!E31+Data_Input!F31)</x:f>
        <x:v>65.05</x:v>
      </x:c>
      <x:c r="F28" s="9" t="n">
        <x:f>Data_Input!G31</x:f>
        <x:v>65.75</x:v>
      </x:c>
      <x:c r="G28" s="9" t="n">
        <x:f>IF(Data_Input!H31="","",Data_Input!G31-Data_Input!H31)</x:f>
        <x:v>64.61</x:v>
      </x:c>
      <x:c r="H28" s="9" t="n">
        <x:f>IF(Data_Input!H31="","",Data_Input!G31+Data_Input!H31)</x:f>
        <x:v>66.89</x:v>
      </x:c>
      <x:c r="I28" s="9" t="n">
        <x:f>Data_Input!F31</x:f>
        <x:v>1.33</x:v>
      </x:c>
      <x:c r="J28" s="9" t="n">
        <x:f>Data_Input!H31</x:f>
        <x:v>1.14</x:v>
      </x:c>
    </x:row>
    <x:row r="29">
      <x:c r="A29" s="7" t="str">
        <x:f>Data_Input!A32</x:f>
        <x:v>kimi</x:v>
      </x:c>
      <x:c r="B29" s="8" t="n">
        <x:f>Data_Input!D32</x:f>
        <x:v>200</x:v>
      </x:c>
      <x:c r="C29" s="9" t="n">
        <x:f>Data_Input!E32</x:f>
        <x:v>52.53</x:v>
      </x:c>
      <x:c r="D29" s="9" t="n">
        <x:f>IF(Data_Input!F32="","",Data_Input!E32-Data_Input!F32)</x:f>
        <x:v>51.54</x:v>
      </x:c>
      <x:c r="E29" s="9" t="n">
        <x:f>IF(Data_Input!F32="","",Data_Input!E32+Data_Input!F32)</x:f>
        <x:v>53.52</x:v>
      </x:c>
      <x:c r="F29" s="9" t="n">
        <x:f>Data_Input!G32</x:f>
        <x:v>56.7</x:v>
      </x:c>
      <x:c r="G29" s="9" t="n">
        <x:f>IF(Data_Input!H32="","",Data_Input!G32-Data_Input!H32)</x:f>
        <x:v>55.78</x:v>
      </x:c>
      <x:c r="H29" s="9" t="n">
        <x:f>IF(Data_Input!H32="","",Data_Input!G32+Data_Input!H32)</x:f>
        <x:v>57.620000000000005</x:v>
      </x:c>
      <x:c r="I29" s="9" t="n">
        <x:f>Data_Input!F32</x:f>
        <x:v>0.99</x:v>
      </x:c>
      <x:c r="J29" s="9" t="n">
        <x:f>Data_Input!H32</x:f>
        <x:v>0.92</x:v>
      </x:c>
    </x:row>
    <x:row r="30">
      <x:c r="A30" s="7" t="str">
        <x:f>Data_Input!A33</x:f>
        <x:v>kimi</x:v>
      </x:c>
      <x:c r="B30" s="8" t="n">
        <x:f>Data_Input!D33</x:f>
        <x:v>500</x:v>
      </x:c>
      <x:c r="C30" s="9" t="n">
        <x:f>Data_Input!E33</x:f>
        <x:v>40.72</x:v>
      </x:c>
      <x:c r="D30" s="9" t="n">
        <x:f>IF(Data_Input!F33="","",Data_Input!E33-Data_Input!F33)</x:f>
        <x:v>40.25</x:v>
      </x:c>
      <x:c r="E30" s="9" t="n">
        <x:f>IF(Data_Input!F33="","",Data_Input!E33+Data_Input!F33)</x:f>
        <x:v>41.19</x:v>
      </x:c>
      <x:c r="F30" s="9" t="n">
        <x:f>Data_Input!G33</x:f>
        <x:v>46.39</x:v>
      </x:c>
      <x:c r="G30" s="9" t="n">
        <x:f>IF(Data_Input!H33="","",Data_Input!G33-Data_Input!H33)</x:f>
        <x:v>46.1</x:v>
      </x:c>
      <x:c r="H30" s="9" t="n">
        <x:f>IF(Data_Input!H33="","",Data_Input!G33+Data_Input!H33)</x:f>
        <x:v>46.68</x:v>
      </x:c>
      <x:c r="I30" s="9" t="n">
        <x:f>Data_Input!F33</x:f>
        <x:v>0.47</x:v>
      </x:c>
      <x:c r="J30" s="9" t="n">
        <x:f>Data_Input!H33</x:f>
        <x:v>0.29</x:v>
      </x:c>
    </x:row>
    <x:row r="31">
      <x:c r="A31" s="7" t="str">
        <x:f>Data_Input!A34</x:f>
        <x:v>kimi</x:v>
      </x:c>
      <x:c r="B31" s="8" t="n">
        <x:f>Data_Input!D34</x:f>
        <x:v>1000</x:v>
      </x:c>
      <x:c r="C31" s="9" t="n">
        <x:f>Data_Input!E34</x:f>
        <x:v>35.69</x:v>
      </x:c>
      <x:c r="D31" s="9" t="n">
        <x:f>IF(Data_Input!F34="","",Data_Input!E34-Data_Input!F34)</x:f>
        <x:v>35.43</x:v>
      </x:c>
      <x:c r="E31" s="9" t="n">
        <x:f>IF(Data_Input!F34="","",Data_Input!E34+Data_Input!F34)</x:f>
        <x:v>35.949999999999996</x:v>
      </x:c>
      <x:c r="F31" s="9" t="n">
        <x:f>Data_Input!G34</x:f>
        <x:v>42.27</x:v>
      </x:c>
      <x:c r="G31" s="9" t="n">
        <x:f>IF(Data_Input!H34="","",Data_Input!G34-Data_Input!H34)</x:f>
        <x:v>42</x:v>
      </x:c>
      <x:c r="H31" s="9" t="n">
        <x:f>IF(Data_Input!H34="","",Data_Input!G34+Data_Input!H34)</x:f>
        <x:v>42.540000000000006</x:v>
      </x:c>
      <x:c r="I31" s="9" t="n">
        <x:f>Data_Input!F34</x:f>
        <x:v>0.26</x:v>
      </x:c>
      <x:c r="J31" s="9" t="n">
        <x:f>Data_Input!H34</x:f>
        <x:v>0.27</x:v>
      </x:c>
    </x:row>
    <x:row r="32">
      <x:c r="A32" s="7" t="str">
        <x:f>Data_Input!A35</x:f>
        <x:v>gemma4</x:v>
      </x:c>
      <x:c r="B32" s="8" t="n">
        <x:f>Data_Input!D35</x:f>
        <x:v>10</x:v>
      </x:c>
      <x:c r="C32" s="9" t="n">
        <x:f>Data_Input!E35</x:f>
        <x:v>88.76</x:v>
      </x:c>
      <x:c r="D32" s="9" t="n">
        <x:f>IF(Data_Input!F35="","",Data_Input!E35-Data_Input!F35)</x:f>
        <x:v>86.81</x:v>
      </x:c>
      <x:c r="E32" s="9" t="n">
        <x:f>IF(Data_Input!F35="","",Data_Input!E35+Data_Input!F35)</x:f>
        <x:v>90.71000000000001</x:v>
      </x:c>
      <x:c r="F32" s="9" t="n">
        <x:f>Data_Input!G35</x:f>
        <x:v>87.48</x:v>
      </x:c>
      <x:c r="G32" s="9" t="n">
        <x:f>IF(Data_Input!H35="","",Data_Input!G35-Data_Input!H35)</x:f>
        <x:v>85.57000000000001</x:v>
      </x:c>
      <x:c r="H32" s="9" t="n">
        <x:f>IF(Data_Input!H35="","",Data_Input!G35+Data_Input!H35)</x:f>
        <x:v>89.39</x:v>
      </x:c>
      <x:c r="I32" s="9" t="n">
        <x:f>Data_Input!F35</x:f>
        <x:v>1.95</x:v>
      </x:c>
      <x:c r="J32" s="9" t="n">
        <x:f>Data_Input!H35</x:f>
        <x:v>1.91</x:v>
      </x:c>
    </x:row>
    <x:row r="33">
      <x:c r="A33" s="7" t="str">
        <x:f>Data_Input!A36</x:f>
        <x:v>gemma4</x:v>
      </x:c>
      <x:c r="B33" s="8" t="n">
        <x:f>Data_Input!D36</x:f>
        <x:v>20</x:v>
      </x:c>
      <x:c r="C33" s="9" t="n">
        <x:f>Data_Input!E36</x:f>
        <x:v>82.16</x:v>
      </x:c>
      <x:c r="D33" s="9" t="n">
        <x:f>IF(Data_Input!F36="","",Data_Input!E36-Data_Input!F36)</x:f>
        <x:v>80.64999999999999</x:v>
      </x:c>
      <x:c r="E33" s="9" t="n">
        <x:f>IF(Data_Input!F36="","",Data_Input!E36+Data_Input!F36)</x:f>
        <x:v>83.67</x:v>
      </x:c>
      <x:c r="F33" s="9" t="n">
        <x:f>Data_Input!G36</x:f>
        <x:v>80.16</x:v>
      </x:c>
      <x:c r="G33" s="9" t="n">
        <x:f>IF(Data_Input!H36="","",Data_Input!G36-Data_Input!H36)</x:f>
        <x:v>78.50999999999999</x:v>
      </x:c>
      <x:c r="H33" s="9" t="n">
        <x:f>IF(Data_Input!H36="","",Data_Input!G36+Data_Input!H36)</x:f>
        <x:v>81.81</x:v>
      </x:c>
      <x:c r="I33" s="9" t="n">
        <x:f>Data_Input!F36</x:f>
        <x:v>1.51</x:v>
      </x:c>
      <x:c r="J33" s="9" t="n">
        <x:f>Data_Input!H36</x:f>
        <x:v>1.65</x:v>
      </x:c>
    </x:row>
    <x:row r="34">
      <x:c r="A34" s="7" t="str">
        <x:f>Data_Input!A37</x:f>
        <x:v>gemma4</x:v>
      </x:c>
      <x:c r="B34" s="8" t="n">
        <x:f>Data_Input!D37</x:f>
        <x:v>100</x:v>
      </x:c>
      <x:c r="C34" s="9" t="n">
        <x:f>Data_Input!E37</x:f>
        <x:v>68.64</x:v>
      </x:c>
      <x:c r="D34" s="9" t="n">
        <x:f>IF(Data_Input!F37="","",Data_Input!E37-Data_Input!F37)</x:f>
        <x:v>67.52</x:v>
      </x:c>
      <x:c r="E34" s="9" t="n">
        <x:f>IF(Data_Input!F37="","",Data_Input!E37+Data_Input!F37)</x:f>
        <x:v>69.76</x:v>
      </x:c>
      <x:c r="F34" s="9" t="n">
        <x:f>Data_Input!G37</x:f>
        <x:v>65.52</x:v>
      </x:c>
      <x:c r="G34" s="9" t="n">
        <x:f>IF(Data_Input!H37="","",Data_Input!G37-Data_Input!H37)</x:f>
        <x:v>64.2</x:v>
      </x:c>
      <x:c r="H34" s="9" t="n">
        <x:f>IF(Data_Input!H37="","",Data_Input!G37+Data_Input!H37)</x:f>
        <x:v>66.83999999999999</x:v>
      </x:c>
      <x:c r="I34" s="9" t="n">
        <x:f>Data_Input!F37</x:f>
        <x:v>1.12</x:v>
      </x:c>
      <x:c r="J34" s="9" t="n">
        <x:f>Data_Input!H37</x:f>
        <x:v>1.32</x:v>
      </x:c>
    </x:row>
    <x:row r="35">
      <x:c r="A35" s="7" t="str">
        <x:f>Data_Input!A38</x:f>
        <x:v>gemma4</x:v>
      </x:c>
      <x:c r="B35" s="8" t="n">
        <x:f>Data_Input!D38</x:f>
        <x:v>200</x:v>
      </x:c>
      <x:c r="C35" s="9" t="n">
        <x:f>Data_Input!E38</x:f>
        <x:v>58.62</x:v>
      </x:c>
      <x:c r="D35" s="9" t="n">
        <x:f>IF(Data_Input!F38="","",Data_Input!E38-Data_Input!F38)</x:f>
        <x:v>57.82</x:v>
      </x:c>
      <x:c r="E35" s="9" t="n">
        <x:f>IF(Data_Input!F38="","",Data_Input!E38+Data_Input!F38)</x:f>
        <x:v>59.419999999999995</x:v>
      </x:c>
      <x:c r="F35" s="9" t="n">
        <x:f>Data_Input!G38</x:f>
        <x:v>56.81</x:v>
      </x:c>
      <x:c r="G35" s="9" t="n">
        <x:f>IF(Data_Input!H38="","",Data_Input!G38-Data_Input!H38)</x:f>
        <x:v>55.95</x:v>
      </x:c>
      <x:c r="H35" s="9" t="n">
        <x:f>IF(Data_Input!H38="","",Data_Input!G38+Data_Input!H38)</x:f>
        <x:v>57.67</x:v>
      </x:c>
      <x:c r="I35" s="9" t="n">
        <x:f>Data_Input!F38</x:f>
        <x:v>0.8</x:v>
      </x:c>
      <x:c r="J35" s="9" t="n">
        <x:f>Data_Input!H38</x:f>
        <x:v>0.86</x:v>
      </x:c>
    </x:row>
    <x:row r="36">
      <x:c r="A36" s="7" t="str">
        <x:f>Data_Input!A39</x:f>
        <x:v>gemma4</x:v>
      </x:c>
      <x:c r="B36" s="8" t="n">
        <x:f>Data_Input!D39</x:f>
        <x:v>500</x:v>
      </x:c>
      <x:c r="C36" s="9" t="n">
        <x:f>Data_Input!E39</x:f>
        <x:v>41.88</x:v>
      </x:c>
      <x:c r="D36" s="9" t="n">
        <x:f>IF(Data_Input!F39="","",Data_Input!E39-Data_Input!F39)</x:f>
        <x:v>41.650000000000006</x:v>
      </x:c>
      <x:c r="E36" s="9" t="n">
        <x:f>IF(Data_Input!F39="","",Data_Input!E39+Data_Input!F39)</x:f>
        <x:v>42.11</x:v>
      </x:c>
      <x:c r="F36" s="9" t="n">
        <x:f>Data_Input!G39</x:f>
        <x:v>43.79</x:v>
      </x:c>
      <x:c r="G36" s="9" t="n">
        <x:f>IF(Data_Input!H39="","",Data_Input!G39-Data_Input!H39)</x:f>
        <x:v>43.43</x:v>
      </x:c>
      <x:c r="H36" s="9" t="n">
        <x:f>IF(Data_Input!H39="","",Data_Input!G39+Data_Input!H39)</x:f>
        <x:v>44.15</x:v>
      </x:c>
      <x:c r="I36" s="9" t="n">
        <x:f>Data_Input!F39</x:f>
        <x:v>0.23</x:v>
      </x:c>
      <x:c r="J36" s="9" t="n">
        <x:f>Data_Input!H39</x:f>
        <x:v>0.36</x:v>
      </x:c>
    </x:row>
    <x:row r="37">
      <x:c r="A37" s="10" t="str">
        <x:f>Data_Input!A40</x:f>
        <x:v>gemma4</x:v>
      </x:c>
      <x:c r="B37" s="11" t="n">
        <x:f>Data_Input!D40</x:f>
        <x:v>1000</x:v>
      </x:c>
      <x:c r="C37" s="12" t="n">
        <x:f>Data_Input!E40</x:f>
        <x:v>31.46</x:v>
      </x:c>
      <x:c r="D37" s="12" t="n">
        <x:f>IF(Data_Input!F40="","",Data_Input!E40-Data_Input!F40)</x:f>
        <x:v>31.17</x:v>
      </x:c>
      <x:c r="E37" s="12" t="n">
        <x:f>IF(Data_Input!F40="","",Data_Input!E40+Data_Input!F40)</x:f>
        <x:v>31.75</x:v>
      </x:c>
      <x:c r="F37" s="12" t="n">
        <x:f>Data_Input!G40</x:f>
        <x:v>36.67</x:v>
      </x:c>
      <x:c r="G37" s="12" t="n">
        <x:f>IF(Data_Input!H40="","",Data_Input!G40-Data_Input!H40)</x:f>
        <x:v>36.410000000000004</x:v>
      </x:c>
      <x:c r="H37" s="12" t="n">
        <x:f>IF(Data_Input!H40="","",Data_Input!G40+Data_Input!H40)</x:f>
        <x:v>36.93</x:v>
      </x:c>
      <x:c r="I37" s="12" t="n">
        <x:f>Data_Input!F40</x:f>
        <x:v>0.29</x:v>
      </x:c>
      <x:c r="J37" s="12" t="n">
        <x:f>Data_Input!H40</x:f>
        <x:v>0.26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83088207244873" defaultRowHeight="16.799999237060547"/>
  <x:cols>
    <x:col min="1" max="1" width="10" customWidth="1"/>
    <x:col min="2" max="7" width="18" customWidth="1"/>
  </x:cols>
  <x:sheetData>
    <x:row r="1">
      <x:c r="A1" s="3" t="s">
        <x:v>20</x:v>
      </x:c>
      <x:c r="B1" s="3" t="s">
        <x:v>51</x:v>
      </x:c>
      <x:c r="C1" s="3" t="s">
        <x:v>52</x:v>
      </x:c>
      <x:c r="D1" s="3" t="s">
        <x:v>53</x:v>
      </x:c>
      <x:c r="E1" s="3" t="s">
        <x:v>54</x:v>
      </x:c>
      <x:c r="F1" s="3" t="s">
        <x:v>55</x:v>
      </x:c>
      <x:c r="G1" s="3" t="s">
        <x:v>56</x:v>
      </x:c>
    </x:row>
    <x:row r="2">
      <x:c r="A2" s="4" t="n">
        <x:f>Calculations!B2</x:f>
        <x:v>10</x:v>
      </x:c>
      <x:c r="B2" s="5" t="n">
        <x:f>Calculations!D2</x:f>
        <x:v>95.1</x:v>
      </x:c>
      <x:c r="C2" s="5" t="n">
        <x:f>Calculations!E2</x:f>
        <x:v>99.22</x:v>
      </x:c>
      <x:c r="D2" s="5" t="n">
        <x:f>Calculations!G2</x:f>
        <x:v>95.59</x:v>
      </x:c>
      <x:c r="E2" s="5" t="n">
        <x:f>Calculations!H2</x:f>
        <x:v>99.93</x:v>
      </x:c>
      <x:c r="F2" s="5" t="n">
        <x:f>Calculations!C2</x:f>
        <x:v>97.16</x:v>
      </x:c>
      <x:c r="G2" s="5" t="n">
        <x:f>Calculations!F2</x:f>
        <x:v>97.76</x:v>
      </x:c>
    </x:row>
    <x:row r="3">
      <x:c r="A3" s="4" t="n">
        <x:f>Calculations!B3</x:f>
        <x:v>20</x:v>
      </x:c>
      <x:c r="B3" s="5" t="n">
        <x:f>Calculations!D3</x:f>
        <x:v>92.89</x:v>
      </x:c>
      <x:c r="C3" s="5" t="n">
        <x:f>Calculations!E3</x:f>
        <x:v>97.58999999999999</x:v>
      </x:c>
      <x:c r="D3" s="5" t="n">
        <x:f>Calculations!G3</x:f>
        <x:v>94.10000000000001</x:v>
      </x:c>
      <x:c r="E3" s="5" t="n">
        <x:f>Calculations!H3</x:f>
        <x:v>97.98</x:v>
      </x:c>
      <x:c r="F3" s="5" t="n">
        <x:f>Calculations!C3</x:f>
        <x:v>95.24</x:v>
      </x:c>
      <x:c r="G3" s="5" t="n">
        <x:f>Calculations!F3</x:f>
        <x:v>96.04</x:v>
      </x:c>
    </x:row>
    <x:row r="4">
      <x:c r="A4" s="4" t="n">
        <x:f>Calculations!B4</x:f>
        <x:v>100</x:v>
      </x:c>
      <x:c r="B4" s="5" t="n">
        <x:f>Calculations!D4</x:f>
        <x:v>83.31</x:v>
      </x:c>
      <x:c r="C4" s="5" t="n">
        <x:f>Calculations!E4</x:f>
        <x:v>86.44999999999999</x:v>
      </x:c>
      <x:c r="D4" s="5" t="n">
        <x:f>Calculations!G4</x:f>
        <x:v>88.21</x:v>
      </x:c>
      <x:c r="E4" s="5" t="n">
        <x:f>Calculations!H4</x:f>
        <x:v>91.79</x:v>
      </x:c>
      <x:c r="F4" s="5" t="n">
        <x:f>Calculations!C4</x:f>
        <x:v>84.88</x:v>
      </x:c>
      <x:c r="G4" s="5" t="n">
        <x:f>Calculations!F4</x:f>
        <x:v>90</x:v>
      </x:c>
    </x:row>
    <x:row r="5">
      <x:c r="A5" s="4" t="n">
        <x:f>Calculations!B5</x:f>
        <x:v>200</x:v>
      </x:c>
      <x:c r="B5" s="5" t="n">
        <x:f>Calculations!D5</x:f>
        <x:v>81.92</x:v>
      </x:c>
      <x:c r="C5" s="5" t="n">
        <x:f>Calculations!E5</x:f>
        <x:v>83.96</x:v>
      </x:c>
      <x:c r="D5" s="5" t="n">
        <x:f>Calculations!G5</x:f>
        <x:v>84.26</x:v>
      </x:c>
      <x:c r="E5" s="5" t="n">
        <x:f>Calculations!H5</x:f>
        <x:v>86.60000000000001</x:v>
      </x:c>
      <x:c r="F5" s="5" t="n">
        <x:f>Calculations!C5</x:f>
        <x:v>82.94</x:v>
      </x:c>
      <x:c r="G5" s="5" t="n">
        <x:f>Calculations!F5</x:f>
        <x:v>85.43</x:v>
      </x:c>
    </x:row>
    <x:row r="6">
      <x:c r="A6" s="4" t="n">
        <x:f>Calculations!B6</x:f>
        <x:v>500</x:v>
      </x:c>
      <x:c r="B6" s="5" t="n">
        <x:f>Calculations!D6</x:f>
        <x:v>69.76</x:v>
      </x:c>
      <x:c r="C6" s="5" t="n">
        <x:f>Calculations!E6</x:f>
        <x:v>71.04</x:v>
      </x:c>
      <x:c r="D6" s="5" t="n">
        <x:f>Calculations!G6</x:f>
        <x:v>77.55000000000001</x:v>
      </x:c>
      <x:c r="E6" s="5" t="n">
        <x:f>Calculations!H6</x:f>
        <x:v>78.75</x:v>
      </x:c>
      <x:c r="F6" s="5" t="n">
        <x:f>Calculations!C6</x:f>
        <x:v>70.4</x:v>
      </x:c>
      <x:c r="G6" s="5" t="n">
        <x:f>Calculations!F6</x:f>
        <x:v>78.15</x:v>
      </x:c>
    </x:row>
    <x:row r="7">
      <x:c r="A7" s="4" t="n">
        <x:f>Calculations!B7</x:f>
        <x:v>1000</x:v>
      </x:c>
      <x:c r="B7" s="5" t="n">
        <x:f>Calculations!D7</x:f>
        <x:v>61.07</x:v>
      </x:c>
      <x:c r="C7" s="5" t="n">
        <x:f>Calculations!E7</x:f>
        <x:v>62.529999999999994</x:v>
      </x:c>
      <x:c r="D7" s="5" t="n">
        <x:f>Calculations!G7</x:f>
        <x:v>70.88999999999999</x:v>
      </x:c>
      <x:c r="E7" s="5" t="n">
        <x:f>Calculations!H7</x:f>
        <x:v>72.25</x:v>
      </x:c>
      <x:c r="F7" s="5" t="n">
        <x:f>Calculations!C7</x:f>
        <x:v>61.8</x:v>
      </x:c>
      <x:c r="G7" s="5" t="n">
        <x:f>Calculations!F7</x:f>
        <x:v>71.57</x:v>
      </x:c>
    </x:row>
    <x:row r="10">
      <x:c r="A10" s="3" t="s">
        <x:v>20</x:v>
      </x:c>
      <x:c r="B10" s="3" t="s">
        <x:v>51</x:v>
      </x:c>
      <x:c r="C10" s="3" t="s">
        <x:v>52</x:v>
      </x:c>
      <x:c r="D10" s="3" t="s">
        <x:v>53</x:v>
      </x:c>
      <x:c r="E10" s="3" t="s">
        <x:v>54</x:v>
      </x:c>
      <x:c r="F10" s="3" t="s">
        <x:v>55</x:v>
      </x:c>
      <x:c r="G10" s="3" t="s">
        <x:v>56</x:v>
      </x:c>
    </x:row>
    <x:row r="11">
      <x:c r="A11" s="4" t="n">
        <x:f>Calculations!B8</x:f>
        <x:v>10</x:v>
      </x:c>
      <x:c r="B11" s="5" t="n">
        <x:f>Calculations!D8</x:f>
        <x:v>93.92999999999999</x:v>
      </x:c>
      <x:c r="C11" s="5" t="n">
        <x:f>Calculations!E8</x:f>
        <x:v>97.67</x:v>
      </x:c>
      <x:c r="D11" s="5" t="n">
        <x:f>Calculations!G8</x:f>
        <x:v>91.07000000000001</x:v>
      </x:c>
      <x:c r="E11" s="5" t="n">
        <x:f>Calculations!H8</x:f>
        <x:v>94.77</x:v>
      </x:c>
      <x:c r="F11" s="5" t="n">
        <x:f>Calculations!C8</x:f>
        <x:v>95.8</x:v>
      </x:c>
      <x:c r="G11" s="5" t="n">
        <x:f>Calculations!F8</x:f>
        <x:v>92.92</x:v>
      </x:c>
    </x:row>
    <x:row r="12">
      <x:c r="A12" s="4" t="n">
        <x:f>Calculations!B9</x:f>
        <x:v>20</x:v>
      </x:c>
      <x:c r="B12" s="5" t="n">
        <x:f>Calculations!D9</x:f>
        <x:v>88.02</x:v>
      </x:c>
      <x:c r="C12" s="5" t="n">
        <x:f>Calculations!E9</x:f>
        <x:v>91.7</x:v>
      </x:c>
      <x:c r="D12" s="5" t="n">
        <x:f>Calculations!G9</x:f>
        <x:v>87.64</x:v>
      </x:c>
      <x:c r="E12" s="5" t="n">
        <x:f>Calculations!H9</x:f>
        <x:v>90.64</x:v>
      </x:c>
      <x:c r="F12" s="5" t="n">
        <x:f>Calculations!C9</x:f>
        <x:v>89.86</x:v>
      </x:c>
      <x:c r="G12" s="5" t="n">
        <x:f>Calculations!F9</x:f>
        <x:v>89.14</x:v>
      </x:c>
    </x:row>
    <x:row r="13">
      <x:c r="A13" s="4" t="n">
        <x:f>Calculations!B10</x:f>
        <x:v>100</x:v>
      </x:c>
      <x:c r="B13" s="5" t="n">
        <x:f>Calculations!D10</x:f>
        <x:v>73.71000000000001</x:v>
      </x:c>
      <x:c r="C13" s="5" t="n">
        <x:f>Calculations!E10</x:f>
        <x:v>76.91</x:v>
      </x:c>
      <x:c r="D13" s="5" t="n">
        <x:f>Calculations!G10</x:f>
        <x:v>74.86</x:v>
      </x:c>
      <x:c r="E13" s="5" t="n">
        <x:f>Calculations!H10</x:f>
        <x:v>77.52</x:v>
      </x:c>
      <x:c r="F13" s="5" t="n">
        <x:f>Calculations!C10</x:f>
        <x:v>75.31</x:v>
      </x:c>
      <x:c r="G13" s="5" t="n">
        <x:f>Calculations!F10</x:f>
        <x:v>76.19</x:v>
      </x:c>
    </x:row>
    <x:row r="14">
      <x:c r="A14" s="4" t="n">
        <x:f>Calculations!B11</x:f>
        <x:v>200</x:v>
      </x:c>
      <x:c r="B14" s="5" t="n">
        <x:f>Calculations!D11</x:f>
        <x:v>65.17</x:v>
      </x:c>
      <x:c r="C14" s="5" t="n">
        <x:f>Calculations!E11</x:f>
        <x:v>67.39</x:v>
      </x:c>
      <x:c r="D14" s="5" t="n">
        <x:f>Calculations!G11</x:f>
        <x:v>65.75</x:v>
      </x:c>
      <x:c r="E14" s="5" t="n">
        <x:f>Calculations!H11</x:f>
        <x:v>68.43</x:v>
      </x:c>
      <x:c r="F14" s="5" t="n">
        <x:f>Calculations!C11</x:f>
        <x:v>66.28</x:v>
      </x:c>
      <x:c r="G14" s="5" t="n">
        <x:f>Calculations!F11</x:f>
        <x:v>67.09</x:v>
      </x:c>
    </x:row>
    <x:row r="15">
      <x:c r="A15" s="4" t="n">
        <x:f>Calculations!B12</x:f>
        <x:v>500</x:v>
      </x:c>
      <x:c r="B15" s="5" t="n">
        <x:f>Calculations!D12</x:f>
        <x:v>52.349999999999994</x:v>
      </x:c>
      <x:c r="C15" s="5" t="n">
        <x:f>Calculations!E12</x:f>
        <x:v>53.89</x:v>
      </x:c>
      <x:c r="D15" s="5" t="n">
        <x:f>Calculations!G12</x:f>
        <x:v>54.57</x:v>
      </x:c>
      <x:c r="E15" s="5" t="n">
        <x:f>Calculations!H12</x:f>
        <x:v>55.79</x:v>
      </x:c>
      <x:c r="F15" s="5" t="n">
        <x:f>Calculations!C12</x:f>
        <x:v>53.12</x:v>
      </x:c>
      <x:c r="G15" s="5" t="n">
        <x:f>Calculations!F12</x:f>
        <x:v>55.18</x:v>
      </x:c>
    </x:row>
    <x:row r="16">
      <x:c r="A16" s="4" t="n">
        <x:f>Calculations!B13</x:f>
        <x:v>1000</x:v>
      </x:c>
      <x:c r="B16" s="5" t="n">
        <x:f>Calculations!D13</x:f>
        <x:v>40.18</x:v>
      </x:c>
      <x:c r="C16" s="5" t="n">
        <x:f>Calculations!E13</x:f>
        <x:v>40.9</x:v>
      </x:c>
      <x:c r="D16" s="5" t="n">
        <x:f>Calculations!G13</x:f>
        <x:v>51.04</x:v>
      </x:c>
      <x:c r="E16" s="5" t="n">
        <x:f>Calculations!H13</x:f>
        <x:v>51.68</x:v>
      </x:c>
      <x:c r="F16" s="5" t="n">
        <x:f>Calculations!C13</x:f>
        <x:v>40.54</x:v>
      </x:c>
      <x:c r="G16" s="5" t="n">
        <x:f>Calculations!F13</x:f>
        <x:v>51.36</x:v>
      </x:c>
    </x:row>
    <x:row r="19">
      <x:c r="A19" s="3" t="s">
        <x:v>20</x:v>
      </x:c>
      <x:c r="B19" s="3" t="s">
        <x:v>51</x:v>
      </x:c>
      <x:c r="C19" s="3" t="s">
        <x:v>52</x:v>
      </x:c>
      <x:c r="D19" s="3" t="s">
        <x:v>53</x:v>
      </x:c>
      <x:c r="E19" s="3" t="s">
        <x:v>54</x:v>
      </x:c>
      <x:c r="F19" s="3" t="s">
        <x:v>55</x:v>
      </x:c>
      <x:c r="G19" s="3" t="s">
        <x:v>56</x:v>
      </x:c>
    </x:row>
    <x:row r="20">
      <x:c r="A20" s="4" t="n">
        <x:f>Calculations!B14</x:f>
        <x:v>10</x:v>
      </x:c>
      <x:c r="B20" s="5" t="n">
        <x:f>Calculations!D14</x:f>
        <x:v>94.95</x:v>
      </x:c>
      <x:c r="C20" s="5" t="n">
        <x:f>Calculations!E14</x:f>
        <x:v>99.13000000000001</x:v>
      </x:c>
      <x:c r="D20" s="5" t="n">
        <x:f>Calculations!G14</x:f>
        <x:v>95.27</x:v>
      </x:c>
      <x:c r="E20" s="5" t="n">
        <x:f>Calculations!H14</x:f>
        <x:v>98.89</x:v>
      </x:c>
      <x:c r="F20" s="5" t="n">
        <x:f>Calculations!C14</x:f>
        <x:v>97.04</x:v>
      </x:c>
      <x:c r="G20" s="5" t="n">
        <x:f>Calculations!F14</x:f>
        <x:v>97.08</x:v>
      </x:c>
    </x:row>
    <x:row r="21">
      <x:c r="A21" s="4" t="n">
        <x:f>Calculations!B15</x:f>
        <x:v>20</x:v>
      </x:c>
      <x:c r="B21" s="5" t="n">
        <x:f>Calculations!D15</x:f>
        <x:v>94.97</x:v>
      </x:c>
      <x:c r="C21" s="5" t="n">
        <x:f>Calculations!E15</x:f>
        <x:v>98.63</x:v>
      </x:c>
      <x:c r="D21" s="5" t="n">
        <x:f>Calculations!G15</x:f>
        <x:v>95.69</x:v>
      </x:c>
      <x:c r="E21" s="5" t="n">
        <x:f>Calculations!H15</x:f>
        <x:v>99.55000000000001</x:v>
      </x:c>
      <x:c r="F21" s="5" t="n">
        <x:f>Calculations!C15</x:f>
        <x:v>96.8</x:v>
      </x:c>
      <x:c r="G21" s="5" t="n">
        <x:f>Calculations!F15</x:f>
        <x:v>97.62</x:v>
      </x:c>
    </x:row>
    <x:row r="22">
      <x:c r="A22" s="4" t="n">
        <x:f>Calculations!B16</x:f>
        <x:v>100</x:v>
      </x:c>
      <x:c r="B22" s="5" t="n">
        <x:f>Calculations!D16</x:f>
        <x:v>90.16</x:v>
      </x:c>
      <x:c r="C22" s="5" t="n">
        <x:f>Calculations!E16</x:f>
        <x:v>91.88</x:v>
      </x:c>
      <x:c r="D22" s="5" t="n">
        <x:f>Calculations!G16</x:f>
        <x:v>90.13000000000001</x:v>
      </x:c>
      <x:c r="E22" s="5" t="n">
        <x:f>Calculations!H16</x:f>
        <x:v>93.45</x:v>
      </x:c>
      <x:c r="F22" s="5" t="n">
        <x:f>Calculations!C16</x:f>
        <x:v>91.02</x:v>
      </x:c>
      <x:c r="G22" s="5" t="n">
        <x:f>Calculations!F16</x:f>
        <x:v>91.79</x:v>
      </x:c>
    </x:row>
    <x:row r="23">
      <x:c r="A23" s="4" t="n">
        <x:f>Calculations!B17</x:f>
        <x:v>200</x:v>
      </x:c>
      <x:c r="B23" s="5" t="n">
        <x:f>Calculations!D17</x:f>
        <x:v>83.5</x:v>
      </x:c>
      <x:c r="C23" s="5" t="n">
        <x:f>Calculations!E17</x:f>
        <x:v>84.97999999999999</x:v>
      </x:c>
      <x:c r="D23" s="5" t="n">
        <x:f>Calculations!G17</x:f>
        <x:v>86.03</x:v>
      </x:c>
      <x:c r="E23" s="5" t="n">
        <x:f>Calculations!H17</x:f>
        <x:v>87.21000000000001</x:v>
      </x:c>
      <x:c r="F23" s="5" t="n">
        <x:f>Calculations!C17</x:f>
        <x:v>84.24</x:v>
      </x:c>
      <x:c r="G23" s="5" t="n">
        <x:f>Calculations!F17</x:f>
        <x:v>86.62</x:v>
      </x:c>
    </x:row>
    <x:row r="24">
      <x:c r="A24" s="4" t="n">
        <x:f>Calculations!B18</x:f>
        <x:v>500</x:v>
      </x:c>
      <x:c r="B24" s="5" t="n">
        <x:f>Calculations!D18</x:f>
        <x:v>76.07000000000001</x:v>
      </x:c>
      <x:c r="C24" s="5" t="n">
        <x:f>Calculations!E18</x:f>
        <x:v>77.05</x:v>
      </x:c>
      <x:c r="D24" s="5" t="n">
        <x:f>Calculations!G18</x:f>
        <x:v>78.08</x:v>
      </x:c>
      <x:c r="E24" s="5" t="n">
        <x:f>Calculations!H18</x:f>
        <x:v>79.04</x:v>
      </x:c>
      <x:c r="F24" s="5" t="n">
        <x:f>Calculations!C18</x:f>
        <x:v>76.56</x:v>
      </x:c>
      <x:c r="G24" s="5" t="n">
        <x:f>Calculations!F18</x:f>
        <x:v>78.56</x:v>
      </x:c>
    </x:row>
    <x:row r="25">
      <x:c r="A25" s="4" t="n">
        <x:f>Calculations!B19</x:f>
        <x:v>1000</x:v>
      </x:c>
      <x:c r="B25" s="5" t="n">
        <x:f>Calculations!D19</x:f>
        <x:v>67.18</x:v>
      </x:c>
      <x:c r="C25" s="5" t="n">
        <x:f>Calculations!E19</x:f>
        <x:v>67.94</x:v>
      </x:c>
      <x:c r="D25" s="5" t="n">
        <x:f>Calculations!G19</x:f>
        <x:v>70.72</x:v>
      </x:c>
      <x:c r="E25" s="5" t="n">
        <x:f>Calculations!H19</x:f>
        <x:v>71.6</x:v>
      </x:c>
      <x:c r="F25" s="5" t="n">
        <x:f>Calculations!C19</x:f>
        <x:v>67.56</x:v>
      </x:c>
      <x:c r="G25" s="5" t="n">
        <x:f>Calculations!F19</x:f>
        <x:v>71.16</x:v>
      </x:c>
    </x:row>
    <x:row r="28">
      <x:c r="A28" s="3" t="s">
        <x:v>20</x:v>
      </x:c>
      <x:c r="B28" s="3" t="s">
        <x:v>51</x:v>
      </x:c>
      <x:c r="C28" s="3" t="s">
        <x:v>52</x:v>
      </x:c>
      <x:c r="D28" s="3" t="s">
        <x:v>53</x:v>
      </x:c>
      <x:c r="E28" s="3" t="s">
        <x:v>54</x:v>
      </x:c>
      <x:c r="F28" s="3" t="s">
        <x:v>55</x:v>
      </x:c>
      <x:c r="G28" s="3" t="s">
        <x:v>56</x:v>
      </x:c>
    </x:row>
    <x:row r="29">
      <x:c r="A29" s="4" t="n">
        <x:f>Calculations!B20</x:f>
        <x:v>10</x:v>
      </x:c>
      <x:c r="B29" s="5" t="n">
        <x:f>Calculations!D20</x:f>
        <x:v>66.83</x:v>
      </x:c>
      <x:c r="C29" s="5" t="n">
        <x:f>Calculations!E20</x:f>
        <x:v>70.61</x:v>
      </x:c>
      <x:c r="D29" s="5" t="n">
        <x:f>Calculations!G20</x:f>
        <x:v>65.31</x:v>
      </x:c>
      <x:c r="E29" s="5" t="n">
        <x:f>Calculations!H20</x:f>
        <x:v>68.77000000000001</x:v>
      </x:c>
      <x:c r="F29" s="5" t="n">
        <x:f>Calculations!C20</x:f>
        <x:v>68.72</x:v>
      </x:c>
      <x:c r="G29" s="5" t="n">
        <x:f>Calculations!F20</x:f>
        <x:v>67.04</x:v>
      </x:c>
    </x:row>
    <x:row r="30">
      <x:c r="A30" s="4" t="n">
        <x:f>Calculations!B21</x:f>
        <x:v>20</x:v>
      </x:c>
      <x:c r="B30" s="5" t="n">
        <x:f>Calculations!D21</x:f>
        <x:v>47.7</x:v>
      </x:c>
      <x:c r="C30" s="5" t="n">
        <x:f>Calculations!E21</x:f>
        <x:v>50.3</x:v>
      </x:c>
      <x:c r="D30" s="5" t="n">
        <x:f>Calculations!G21</x:f>
        <x:v>54.650000000000006</x:v>
      </x:c>
      <x:c r="E30" s="5" t="n">
        <x:f>Calculations!H21</x:f>
        <x:v>57.39</x:v>
      </x:c>
      <x:c r="F30" s="5" t="n">
        <x:f>Calculations!C21</x:f>
        <x:v>49</x:v>
      </x:c>
      <x:c r="G30" s="5" t="n">
        <x:f>Calculations!F21</x:f>
        <x:v>56.02</x:v>
      </x:c>
    </x:row>
    <x:row r="31">
      <x:c r="A31" s="4" t="n">
        <x:f>Calculations!B22</x:f>
        <x:v>100</x:v>
      </x:c>
      <x:c r="B31" s="5" t="n">
        <x:f>Calculations!D22</x:f>
        <x:v>16.97</x:v>
      </x:c>
      <x:c r="C31" s="5" t="n">
        <x:f>Calculations!E22</x:f>
        <x:v>18.71</x:v>
      </x:c>
      <x:c r="D31" s="5" t="n">
        <x:f>Calculations!G22</x:f>
        <x:v>38.53</x:v>
      </x:c>
      <x:c r="E31" s="5" t="n">
        <x:f>Calculations!H22</x:f>
        <x:v>40.629999999999995</x:v>
      </x:c>
      <x:c r="F31" s="5" t="n">
        <x:f>Calculations!C22</x:f>
        <x:v>17.84</x:v>
      </x:c>
      <x:c r="G31" s="5" t="n">
        <x:f>Calculations!F22</x:f>
        <x:v>39.58</x:v>
      </x:c>
    </x:row>
    <x:row r="32">
      <x:c r="A32" s="4" t="n">
        <x:f>Calculations!B23</x:f>
        <x:v>200</x:v>
      </x:c>
      <x:c r="B32" s="5" t="n">
        <x:f>Calculations!D23</x:f>
        <x:v>6.49</x:v>
      </x:c>
      <x:c r="C32" s="5" t="n">
        <x:f>Calculations!E23</x:f>
        <x:v>7.93</x:v>
      </x:c>
      <x:c r="D32" s="5" t="n">
        <x:f>Calculations!G23</x:f>
        <x:v>30.810000000000002</x:v>
      </x:c>
      <x:c r="E32" s="5" t="n">
        <x:f>Calculations!H23</x:f>
        <x:v>32.11</x:v>
      </x:c>
      <x:c r="F32" s="5" t="n">
        <x:f>Calculations!C23</x:f>
        <x:v>7.21</x:v>
      </x:c>
      <x:c r="G32" s="5" t="n">
        <x:f>Calculations!F23</x:f>
        <x:v>31.46</x:v>
      </x:c>
    </x:row>
    <x:row r="33">
      <x:c r="A33" s="4" t="n">
        <x:f>Calculations!B24</x:f>
        <x:v>500</x:v>
      </x:c>
      <x:c r="B33" s="5" t="n">
        <x:f>Calculations!D24</x:f>
        <x:v>1.7200000000000002</x:v>
      </x:c>
      <x:c r="C33" s="5" t="n">
        <x:f>Calculations!E24</x:f>
        <x:v>2.68</x:v>
      </x:c>
      <x:c r="D33" s="5" t="n">
        <x:f>Calculations!G24</x:f>
        <x:v>21.080000000000002</x:v>
      </x:c>
      <x:c r="E33" s="5" t="n">
        <x:f>Calculations!H24</x:f>
        <x:v>21.8</x:v>
      </x:c>
      <x:c r="F33" s="5" t="n">
        <x:f>Calculations!C24</x:f>
        <x:v>2.2</x:v>
      </x:c>
      <x:c r="G33" s="5" t="n">
        <x:f>Calculations!F24</x:f>
        <x:v>21.44</x:v>
      </x:c>
    </x:row>
    <x:row r="34">
      <x:c r="A34" s="4" t="n">
        <x:f>Calculations!B25</x:f>
        <x:v>1000</x:v>
      </x:c>
      <x:c r="B34" s="5" t="n">
        <x:f>Calculations!D25</x:f>
        <x:v>0.16999999999999998</x:v>
      </x:c>
      <x:c r="C34" s="5" t="n">
        <x:f>Calculations!E25</x:f>
        <x:v>0.8300000000000001</x:v>
      </x:c>
      <x:c r="D34" s="5" t="n">
        <x:f>Calculations!G25</x:f>
        <x:v>18.64</x:v>
      </x:c>
      <x:c r="E34" s="5" t="n">
        <x:f>Calculations!H25</x:f>
        <x:v>19.439999999999998</x:v>
      </x:c>
      <x:c r="F34" s="5" t="n">
        <x:f>Calculations!C25</x:f>
        <x:v>0.5</x:v>
      </x:c>
      <x:c r="G34" s="5" t="n">
        <x:f>Calculations!F25</x:f>
        <x:v>19.04</x:v>
      </x:c>
    </x:row>
    <x:row r="37">
      <x:c r="A37" s="3" t="s">
        <x:v>20</x:v>
      </x:c>
      <x:c r="B37" s="3" t="s">
        <x:v>51</x:v>
      </x:c>
      <x:c r="C37" s="3" t="s">
        <x:v>52</x:v>
      </x:c>
      <x:c r="D37" s="3" t="s">
        <x:v>53</x:v>
      </x:c>
      <x:c r="E37" s="3" t="s">
        <x:v>54</x:v>
      </x:c>
      <x:c r="F37" s="3" t="s">
        <x:v>55</x:v>
      </x:c>
      <x:c r="G37" s="3" t="s">
        <x:v>56</x:v>
      </x:c>
    </x:row>
    <x:row r="38">
      <x:c r="A38" s="4" t="n">
        <x:f>Calculations!B26</x:f>
        <x:v>10</x:v>
      </x:c>
      <x:c r="B38" s="5" t="n">
        <x:f>Calculations!D26</x:f>
        <x:v>92.45</x:v>
      </x:c>
      <x:c r="C38" s="5" t="n">
        <x:f>Calculations!E26</x:f>
        <x:v>96.11</x:v>
      </x:c>
      <x:c r="D38" s="5" t="n">
        <x:f>Calculations!G26</x:f>
        <x:v>91.44</x:v>
      </x:c>
      <x:c r="E38" s="5" t="n">
        <x:f>Calculations!H26</x:f>
        <x:v>94.88</x:v>
      </x:c>
      <x:c r="F38" s="5" t="n">
        <x:f>Calculations!C26</x:f>
        <x:v>94.28</x:v>
      </x:c>
      <x:c r="G38" s="5" t="n">
        <x:f>Calculations!F26</x:f>
        <x:v>93.16</x:v>
      </x:c>
    </x:row>
    <x:row r="39">
      <x:c r="A39" s="4" t="n">
        <x:f>Calculations!B27</x:f>
        <x:v>20</x:v>
      </x:c>
      <x:c r="B39" s="5" t="n">
        <x:f>Calculations!D27</x:f>
        <x:v>86.08</x:v>
      </x:c>
      <x:c r="C39" s="5" t="n">
        <x:f>Calculations!E27</x:f>
        <x:v>89.32000000000001</x:v>
      </x:c>
      <x:c r="D39" s="5" t="n">
        <x:f>Calculations!G27</x:f>
        <x:v>82.58</x:v>
      </x:c>
      <x:c r="E39" s="5" t="n">
        <x:f>Calculations!H27</x:f>
        <x:v>85.14</x:v>
      </x:c>
      <x:c r="F39" s="5" t="n">
        <x:f>Calculations!C27</x:f>
        <x:v>87.7</x:v>
      </x:c>
      <x:c r="G39" s="5" t="n">
        <x:f>Calculations!F27</x:f>
        <x:v>83.86</x:v>
      </x:c>
    </x:row>
    <x:row r="40">
      <x:c r="A40" s="4" t="n">
        <x:f>Calculations!B28</x:f>
        <x:v>100</x:v>
      </x:c>
      <x:c r="B40" s="5" t="n">
        <x:f>Calculations!D28</x:f>
        <x:v>62.39</x:v>
      </x:c>
      <x:c r="C40" s="5" t="n">
        <x:f>Calculations!E28</x:f>
        <x:v>65.05</x:v>
      </x:c>
      <x:c r="D40" s="5" t="n">
        <x:f>Calculations!G28</x:f>
        <x:v>64.61</x:v>
      </x:c>
      <x:c r="E40" s="5" t="n">
        <x:f>Calculations!H28</x:f>
        <x:v>66.89</x:v>
      </x:c>
      <x:c r="F40" s="5" t="n">
        <x:f>Calculations!C28</x:f>
        <x:v>63.72</x:v>
      </x:c>
      <x:c r="G40" s="5" t="n">
        <x:f>Calculations!F28</x:f>
        <x:v>65.75</x:v>
      </x:c>
    </x:row>
    <x:row r="41">
      <x:c r="A41" s="4" t="n">
        <x:f>Calculations!B29</x:f>
        <x:v>200</x:v>
      </x:c>
      <x:c r="B41" s="5" t="n">
        <x:f>Calculations!D29</x:f>
        <x:v>51.54</x:v>
      </x:c>
      <x:c r="C41" s="5" t="n">
        <x:f>Calculations!E29</x:f>
        <x:v>53.52</x:v>
      </x:c>
      <x:c r="D41" s="5" t="n">
        <x:f>Calculations!G29</x:f>
        <x:v>55.78</x:v>
      </x:c>
      <x:c r="E41" s="5" t="n">
        <x:f>Calculations!H29</x:f>
        <x:v>57.620000000000005</x:v>
      </x:c>
      <x:c r="F41" s="5" t="n">
        <x:f>Calculations!C29</x:f>
        <x:v>52.53</x:v>
      </x:c>
      <x:c r="G41" s="5" t="n">
        <x:f>Calculations!F29</x:f>
        <x:v>56.7</x:v>
      </x:c>
    </x:row>
    <x:row r="42">
      <x:c r="A42" s="4" t="n">
        <x:f>Calculations!B30</x:f>
        <x:v>500</x:v>
      </x:c>
      <x:c r="B42" s="5" t="n">
        <x:f>Calculations!D30</x:f>
        <x:v>40.25</x:v>
      </x:c>
      <x:c r="C42" s="5" t="n">
        <x:f>Calculations!E30</x:f>
        <x:v>41.19</x:v>
      </x:c>
      <x:c r="D42" s="5" t="n">
        <x:f>Calculations!G30</x:f>
        <x:v>46.1</x:v>
      </x:c>
      <x:c r="E42" s="5" t="n">
        <x:f>Calculations!H30</x:f>
        <x:v>46.68</x:v>
      </x:c>
      <x:c r="F42" s="5" t="n">
        <x:f>Calculations!C30</x:f>
        <x:v>40.72</x:v>
      </x:c>
      <x:c r="G42" s="5" t="n">
        <x:f>Calculations!F30</x:f>
        <x:v>46.39</x:v>
      </x:c>
    </x:row>
    <x:row r="43">
      <x:c r="A43" s="4" t="n">
        <x:f>Calculations!B31</x:f>
        <x:v>1000</x:v>
      </x:c>
      <x:c r="B43" s="5" t="n">
        <x:f>Calculations!D31</x:f>
        <x:v>35.43</x:v>
      </x:c>
      <x:c r="C43" s="5" t="n">
        <x:f>Calculations!E31</x:f>
        <x:v>35.949999999999996</x:v>
      </x:c>
      <x:c r="D43" s="5" t="n">
        <x:f>Calculations!G31</x:f>
        <x:v>42</x:v>
      </x:c>
      <x:c r="E43" s="5" t="n">
        <x:f>Calculations!H31</x:f>
        <x:v>42.540000000000006</x:v>
      </x:c>
      <x:c r="F43" s="5" t="n">
        <x:f>Calculations!C31</x:f>
        <x:v>35.69</x:v>
      </x:c>
      <x:c r="G43" s="5" t="n">
        <x:f>Calculations!F31</x:f>
        <x:v>42.27</x:v>
      </x:c>
    </x:row>
    <x:row r="46">
      <x:c r="A46" s="3" t="s">
        <x:v>20</x:v>
      </x:c>
      <x:c r="B46" s="3" t="s">
        <x:v>51</x:v>
      </x:c>
      <x:c r="C46" s="3" t="s">
        <x:v>52</x:v>
      </x:c>
      <x:c r="D46" s="3" t="s">
        <x:v>53</x:v>
      </x:c>
      <x:c r="E46" s="3" t="s">
        <x:v>54</x:v>
      </x:c>
      <x:c r="F46" s="3" t="s">
        <x:v>55</x:v>
      </x:c>
      <x:c r="G46" s="3" t="s">
        <x:v>56</x:v>
      </x:c>
    </x:row>
    <x:row r="47">
      <x:c r="A47" s="4" t="n">
        <x:f>Calculations!B32</x:f>
        <x:v>10</x:v>
      </x:c>
      <x:c r="B47" s="5" t="n">
        <x:f>Calculations!D32</x:f>
        <x:v>86.81</x:v>
      </x:c>
      <x:c r="C47" s="5" t="n">
        <x:f>Calculations!E32</x:f>
        <x:v>90.71000000000001</x:v>
      </x:c>
      <x:c r="D47" s="5" t="n">
        <x:f>Calculations!G32</x:f>
        <x:v>85.57000000000001</x:v>
      </x:c>
      <x:c r="E47" s="5" t="n">
        <x:f>Calculations!H32</x:f>
        <x:v>89.39</x:v>
      </x:c>
      <x:c r="F47" s="5" t="n">
        <x:f>Calculations!C32</x:f>
        <x:v>88.76</x:v>
      </x:c>
      <x:c r="G47" s="5" t="n">
        <x:f>Calculations!F32</x:f>
        <x:v>87.48</x:v>
      </x:c>
    </x:row>
    <x:row r="48">
      <x:c r="A48" s="4" t="n">
        <x:f>Calculations!B33</x:f>
        <x:v>20</x:v>
      </x:c>
      <x:c r="B48" s="5" t="n">
        <x:f>Calculations!D33</x:f>
        <x:v>80.64999999999999</x:v>
      </x:c>
      <x:c r="C48" s="5" t="n">
        <x:f>Calculations!E33</x:f>
        <x:v>83.67</x:v>
      </x:c>
      <x:c r="D48" s="5" t="n">
        <x:f>Calculations!G33</x:f>
        <x:v>78.50999999999999</x:v>
      </x:c>
      <x:c r="E48" s="5" t="n">
        <x:f>Calculations!H33</x:f>
        <x:v>81.81</x:v>
      </x:c>
      <x:c r="F48" s="5" t="n">
        <x:f>Calculations!C33</x:f>
        <x:v>82.16</x:v>
      </x:c>
      <x:c r="G48" s="5" t="n">
        <x:f>Calculations!F33</x:f>
        <x:v>80.16</x:v>
      </x:c>
    </x:row>
    <x:row r="49">
      <x:c r="A49" s="4" t="n">
        <x:f>Calculations!B34</x:f>
        <x:v>100</x:v>
      </x:c>
      <x:c r="B49" s="5" t="n">
        <x:f>Calculations!D34</x:f>
        <x:v>67.52</x:v>
      </x:c>
      <x:c r="C49" s="5" t="n">
        <x:f>Calculations!E34</x:f>
        <x:v>69.76</x:v>
      </x:c>
      <x:c r="D49" s="5" t="n">
        <x:f>Calculations!G34</x:f>
        <x:v>64.2</x:v>
      </x:c>
      <x:c r="E49" s="5" t="n">
        <x:f>Calculations!H34</x:f>
        <x:v>66.83999999999999</x:v>
      </x:c>
      <x:c r="F49" s="5" t="n">
        <x:f>Calculations!C34</x:f>
        <x:v>68.64</x:v>
      </x:c>
      <x:c r="G49" s="5" t="n">
        <x:f>Calculations!F34</x:f>
        <x:v>65.52</x:v>
      </x:c>
    </x:row>
    <x:row r="50">
      <x:c r="A50" s="4" t="n">
        <x:f>Calculations!B35</x:f>
        <x:v>200</x:v>
      </x:c>
      <x:c r="B50" s="5" t="n">
        <x:f>Calculations!D35</x:f>
        <x:v>57.82</x:v>
      </x:c>
      <x:c r="C50" s="5" t="n">
        <x:f>Calculations!E35</x:f>
        <x:v>59.419999999999995</x:v>
      </x:c>
      <x:c r="D50" s="5" t="n">
        <x:f>Calculations!G35</x:f>
        <x:v>55.95</x:v>
      </x:c>
      <x:c r="E50" s="5" t="n">
        <x:f>Calculations!H35</x:f>
        <x:v>57.67</x:v>
      </x:c>
      <x:c r="F50" s="5" t="n">
        <x:f>Calculations!C35</x:f>
        <x:v>58.62</x:v>
      </x:c>
      <x:c r="G50" s="5" t="n">
        <x:f>Calculations!F35</x:f>
        <x:v>56.81</x:v>
      </x:c>
    </x:row>
    <x:row r="51">
      <x:c r="A51" s="4" t="n">
        <x:f>Calculations!B36</x:f>
        <x:v>500</x:v>
      </x:c>
      <x:c r="B51" s="5" t="n">
        <x:f>Calculations!D36</x:f>
        <x:v>41.650000000000006</x:v>
      </x:c>
      <x:c r="C51" s="5" t="n">
        <x:f>Calculations!E36</x:f>
        <x:v>42.11</x:v>
      </x:c>
      <x:c r="D51" s="5" t="n">
        <x:f>Calculations!G36</x:f>
        <x:v>43.43</x:v>
      </x:c>
      <x:c r="E51" s="5" t="n">
        <x:f>Calculations!H36</x:f>
        <x:v>44.15</x:v>
      </x:c>
      <x:c r="F51" s="5" t="n">
        <x:f>Calculations!C36</x:f>
        <x:v>41.88</x:v>
      </x:c>
      <x:c r="G51" s="5" t="n">
        <x:f>Calculations!F36</x:f>
        <x:v>43.79</x:v>
      </x:c>
    </x:row>
    <x:row r="52">
      <x:c r="A52" s="4" t="n">
        <x:f>Calculations!B37</x:f>
        <x:v>1000</x:v>
      </x:c>
      <x:c r="B52" s="5" t="n">
        <x:f>Calculations!D37</x:f>
        <x:v>31.17</x:v>
      </x:c>
      <x:c r="C52" s="5" t="n">
        <x:f>Calculations!E37</x:f>
        <x:v>31.75</x:v>
      </x:c>
      <x:c r="D52" s="5" t="n">
        <x:f>Calculations!G37</x:f>
        <x:v>36.410000000000004</x:v>
      </x:c>
      <x:c r="E52" s="5" t="n">
        <x:f>Calculations!H37</x:f>
        <x:v>36.93</x:v>
      </x:c>
      <x:c r="F52" s="5" t="n">
        <x:f>Calculations!C37</x:f>
        <x:v>31.46</x:v>
      </x:c>
      <x:c r="G52" s="5" t="n">
        <x:f>Calculations!F37</x:f>
        <x:v>36.67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83088207244873" defaultRowHeight="16.799999237060547"/>
  <x:cols>
    <x:col min="1" max="8" width="11" customWidth="1"/>
    <x:col min="10" max="17" width="11" customWidth="1"/>
    <x:col min="19" max="26" width="11" customWidth="1"/>
  </x:cols>
  <x:sheetData>
    <x:row r="1" ht="23.200000762939453">
      <x:c r="A1" s="1" t="s">
        <x:v>57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38">
      <x:c r="A38" s="2" t="s">
        <x:v>58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</x:sheetData>
  <x:mergeCells>
    <x:mergeCell ref="A1:Z1"/>
    <x:mergeCell ref="A38:Z39"/>
  </x:mergeCells>
  <x:pageMargins left="0.7" right="0.7" top="0.75" bottom="0.75" header="0.3" footer="0.3"/>
  <x:drawing xmlns:r="http://schemas.openxmlformats.org/officeDocument/2006/relationships" r:id="Rdc0476118e52433d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52" hidden="0" customWidth="1"/>
    <x:col min="4" max="4" width="14" hidden="0" customWidth="1"/>
    <x:col min="5" max="5" width="14" hidden="0" customWidth="1"/>
    <x:col min="6" max="6" width="50" hidden="0" customWidth="1"/>
  </x:cols>
  <x:sheetData>
    <x:row r="1" ht="28" customHeight="1">
      <x:c r="A1" s="50" t="str">
        <x:v>Date</x:v>
      </x:c>
      <x:c r="B1" s="50" t="str">
        <x:v>Location</x:v>
      </x:c>
      <x:c r="C1" s="50" t="str">
        <x:v>Model / method</x:v>
      </x:c>
      <x:c r="D1" s="50" t="str">
        <x:v>Before (%)</x:v>
      </x:c>
      <x:c r="E1" s="50" t="str">
        <x:v>After (%)</x:v>
      </x:c>
      <x:c r="F1" s="50" t="str">
        <x:v>Basis</x:v>
      </x:c>
    </x:row>
    <x:row r="2" ht="46" customHeight="1">
      <x:c r="A2" s="51" t="str">
        <x:v>2026-09-03</x:v>
      </x:c>
      <x:c r="B2" s="51" t="str">
        <x:v>Data_Input!E5</x:v>
      </x:c>
      <x:c r="C2" s="51" t="str">
        <x:v>Qwen2.5-VL-7B-Instruct / Flat</x:v>
      </x:c>
      <x:c r="D2" s="52" t="n">
        <x:v>97.18</x:v>
      </x:c>
      <x:c r="E2" s="52" t="n">
        <x:v>97.16</x:v>
      </x:c>
      <x:c r="F2" s="51" t="str">
        <x:v>Author-reported entry correction; not a per-run recomputation.</x:v>
      </x:c>
    </x:row>
    <x:row r="3" ht="46" customHeight="1">
      <x:c r="A3" s="51" t="str">
        <x:v>2026-09-03</x:v>
      </x:c>
      <x:c r="B3" s="51" t="str">
        <x:v>Data_Input!G5</x:v>
      </x:c>
      <x:c r="C3" s="51" t="str">
        <x:v>Qwen2.5-VL-7B-Instruct / DCI</x:v>
      </x:c>
      <x:c r="D3" s="52" t="n">
        <x:v>97.77</x:v>
      </x:c>
      <x:c r="E3" s="52" t="n">
        <x:v>97.76</x:v>
      </x:c>
      <x:c r="F3" s="51" t="str">
        <x:v>Author-reported entry correction; not a per-run recomputation.</x:v>
      </x:c>
    </x:row>
    <x:row r="4" ht="46" customHeight="1">
      <x:c r="A4" s="51" t="str">
        <x:v>2026-09-03</x:v>
      </x:c>
      <x:c r="B4" s="51" t="str">
        <x:v>Data_Input!E11</x:v>
      </x:c>
      <x:c r="C4" s="51" t="str">
        <x:v>Qwen3-VL-2B-Instruct / Flat</x:v>
      </x:c>
      <x:c r="D4" s="52" t="n">
        <x:v>95.82</x:v>
      </x:c>
      <x:c r="E4" s="52" t="n">
        <x:v>95.8</x:v>
      </x:c>
      <x:c r="F4" s="51" t="str">
        <x:v>Author-reported entry correction; not a per-run recomputation.</x:v>
      </x:c>
    </x:row>
    <x:row r="5" ht="46" customHeight="1">
      <x:c r="A5" s="51" t="str">
        <x:v>2026-09-03</x:v>
      </x:c>
      <x:c r="B5" s="51" t="str">
        <x:v>Data_Input!G11</x:v>
      </x:c>
      <x:c r="C5" s="51" t="str">
        <x:v>Qwen3-VL-2B-Instruct / DCI</x:v>
      </x:c>
      <x:c r="D5" s="52" t="n">
        <x:v>92.91</x:v>
      </x:c>
      <x:c r="E5" s="52" t="n">
        <x:v>92.92</x:v>
      </x:c>
      <x:c r="F5" s="51" t="str">
        <x:v>Author-reported entry correction; not a per-run recomputation.</x:v>
      </x:c>
    </x:row>
    <x:row r="6" ht="46" customHeight="1">
      <x:c r="A6" s="51" t="str">
        <x:v>2026-09-03</x:v>
      </x:c>
      <x:c r="B6" s="51" t="str">
        <x:v>Data_Input!E17</x:v>
      </x:c>
      <x:c r="C6" s="51" t="str">
        <x:v>Qwen3-VL-8B-Instruct / Flat</x:v>
      </x:c>
      <x:c r="D6" s="52" t="n">
        <x:v>97.05</x:v>
      </x:c>
      <x:c r="E6" s="52" t="n">
        <x:v>97.04</x:v>
      </x:c>
      <x:c r="F6" s="51" t="str">
        <x:v>Author-reported entry correction; not a per-run recomputation.</x:v>
      </x:c>
    </x:row>
    <x:row r="7" ht="46" customHeight="1">
      <x:c r="A7" s="51" t="str">
        <x:v>2026-09-03</x:v>
      </x:c>
      <x:c r="B7" s="51" t="str">
        <x:v>Data_Input!G17</x:v>
      </x:c>
      <x:c r="C7" s="51" t="str">
        <x:v>Qwen3-VL-8B-Instruct / DCI</x:v>
      </x:c>
      <x:c r="D7" s="52" t="n">
        <x:v>97.09</x:v>
      </x:c>
      <x:c r="E7" s="52" t="n">
        <x:v>97.08</x:v>
      </x:c>
      <x:c r="F7" s="51" t="str">
        <x:v>Author-reported entry correction; not a per-run recomputation.</x:v>
      </x:c>
    </x:row>
    <x:row r="8" ht="46" customHeight="1">
      <x:c r="A8" s="51" t="str">
        <x:v>2026-09-03</x:v>
      </x:c>
      <x:c r="B8" s="51" t="str">
        <x:v>Data_Input!E23</x:v>
      </x:c>
      <x:c r="C8" s="51" t="str">
        <x:v>DeepSeek-VL-7B-chat / Flat</x:v>
      </x:c>
      <x:c r="D8" s="52" t="n">
        <x:v>68.74</x:v>
      </x:c>
      <x:c r="E8" s="52" t="n">
        <x:v>68.72</x:v>
      </x:c>
      <x:c r="F8" s="51" t="str">
        <x:v>Author-reported entry correction; not a per-run recomputation.</x:v>
      </x:c>
    </x:row>
    <x:row r="9" ht="46" customHeight="1">
      <x:c r="A9" s="51" t="str">
        <x:v>2026-09-03</x:v>
      </x:c>
      <x:c r="B9" s="51" t="str">
        <x:v>Data_Input!G23</x:v>
      </x:c>
      <x:c r="C9" s="51" t="str">
        <x:v>DeepSeek-VL-7B-chat / DCI</x:v>
      </x:c>
      <x:c r="D9" s="52" t="n">
        <x:v>67.03</x:v>
      </x:c>
      <x:c r="E9" s="52" t="n">
        <x:v>67.04</x:v>
      </x:c>
      <x:c r="F9" s="51" t="str">
        <x:v>Author-reported entry correction; not a per-run recomputation.</x:v>
      </x:c>
    </x:row>
    <x:row r="10" ht="46" customHeight="1">
      <x:c r="A10" s="51" t="str">
        <x:v>2026-09-03</x:v>
      </x:c>
      <x:c r="B10" s="51" t="str">
        <x:v>Data_Input!E29</x:v>
      </x:c>
      <x:c r="C10" s="51" t="str">
        <x:v>Kimi-VL-A3B-Instruct / Flat</x:v>
      </x:c>
      <x:c r="D10" s="52" t="n">
        <x:v>94.29</x:v>
      </x:c>
      <x:c r="E10" s="52" t="n">
        <x:v>94.28</x:v>
      </x:c>
      <x:c r="F10" s="51" t="str">
        <x:v>Author-reported entry correction; not a per-run recomputation.</x:v>
      </x:c>
    </x:row>
    <x:row r="11" ht="46" customHeight="1">
      <x:c r="A11" s="51" t="str">
        <x:v>2026-09-03</x:v>
      </x:c>
      <x:c r="B11" s="51" t="str">
        <x:v>Data_Input!G29</x:v>
      </x:c>
      <x:c r="C11" s="51" t="str">
        <x:v>Kimi-VL-A3B-Instruct / DCI</x:v>
      </x:c>
      <x:c r="D11" s="52" t="n">
        <x:v>88.85</x:v>
      </x:c>
      <x:c r="E11" s="52" t="n">
        <x:v>88.84</x:v>
      </x:c>
      <x:c r="F11" s="51" t="str">
        <x:v>Author-reported entry correction; not a per-run recomputation.</x:v>
      </x:c>
    </x:row>
    <x:row r="12" ht="46" customHeight="1">
      <x:c r="A12" s="51" t="str">
        <x:v>2026-09-03</x:v>
      </x:c>
      <x:c r="B12" s="51" t="str">
        <x:v>Data_Input!E35</x:v>
      </x:c>
      <x:c r="C12" s="51" t="str">
        <x:v>Gemma-4-E4B / Flat</x:v>
      </x:c>
      <x:c r="D12" s="52" t="n">
        <x:v>88.78</x:v>
      </x:c>
      <x:c r="E12" s="52" t="n">
        <x:v>88.76</x:v>
      </x:c>
      <x:c r="F12" s="51" t="str">
        <x:v>Author-reported entry correction; not a per-run recomputation.</x:v>
      </x:c>
    </x:row>
    <x:row r="13" ht="46" customHeight="1">
      <x:c r="A13" s="51" t="str">
        <x:v>2026-09-03</x:v>
      </x:c>
      <x:c r="B13" s="51" t="str">
        <x:v>Data_Input!G35</x:v>
      </x:c>
      <x:c r="C13" s="51" t="str">
        <x:v>Gemma-4-E4B / DCI</x:v>
      </x:c>
      <x:c r="D13" s="52" t="n">
        <x:v>87.47</x:v>
      </x:c>
      <x:c r="E13" s="52" t="n">
        <x:v>87.48</x:v>
      </x:c>
      <x:c r="F13" s="51" t="str">
        <x:v>Author-reported entry correction; not a per-run recomputation.</x:v>
      </x:c>
    </x:row>
    <x:row r="14" ht="46" customHeight="1">
      <x:c r="A14" s="51"/>
      <x:c r="B14" s="51"/>
      <x:c r="C14" s="51"/>
      <x:c r="D14" s="51"/>
      <x:c r="E14" s="51"/>
      <x:c r="F14" s="51"/>
    </x:row>
    <x:row r="15" ht="46" customHeight="1">
      <x:c r="A15" s="51" t="str">
        <x:v>Scope</x:v>
      </x:c>
      <x:c r="B15" s="51" t="str">
        <x:v>N=10; 500 images × 5 runs</x:v>
      </x:c>
      <x:c r="C15" s="51" t="str">
        <x:v>Source backups and original SD retained.</x:v>
      </x:c>
      <x:c r="D15" s="51" t="str">
        <x:v>SD unchanged</x:v>
      </x:c>
      <x:c r="E15" s="51" t="str">
        <x:v>Other settings unchanged</x:v>
      </x:c>
      <x:c r="F15" s="51" t="str">
        <x:v>Four equidistant Flat values explicitly confirmed by the author.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51" hidden="0" customWidth="1"/>
    <x:col min="4" max="4" width="13" hidden="0" customWidth="1"/>
    <x:col min="5" max="5" width="13" hidden="0" customWidth="1"/>
    <x:col min="6" max="6" width="12" hidden="0" customWidth="1"/>
    <x:col min="7" max="7" width="59" hidden="0" customWidth="1"/>
    <x:col min="8" max="8" width="27" hidden="0" customWidth="1"/>
  </x:cols>
  <x:sheetData>
    <x:row r="1" ht="28" customHeight="1">
      <x:c r="A1" s="54" t="str">
        <x:v>Date</x:v>
      </x:c>
      <x:c r="B1" s="54" t="str">
        <x:v>Location</x:v>
      </x:c>
      <x:c r="C1" s="54" t="str">
        <x:v>Experimental setting</x:v>
      </x:c>
      <x:c r="D1" s="54" t="str">
        <x:v>Before (%)</x:v>
      </x:c>
      <x:c r="E1" s="54" t="str">
        <x:v>After (%)</x:v>
      </x:c>
      <x:c r="F1" s="54" t="str">
        <x:v>Step (pp)</x:v>
      </x:c>
      <x:c r="G1" s="54" t="str">
        <x:v>Basis</x:v>
      </x:c>
      <x:c r="H1" s="54" t="str">
        <x:v>Previous formula / input</x:v>
      </x:c>
    </x:row>
    <x:row r="2" ht="66" customHeight="1">
      <x:c r="A2" s="51" t="str">
        <x:v>2026-09-03</x:v>
      </x:c>
      <x:c r="B2" s="51" t="str">
        <x:v>Data_Input!E6</x:v>
      </x:c>
      <x:c r="C2" s="51" t="str">
        <x:v>Qwen2.5-VL-7B-Instruct; Flat; N=20; 1000 images x 5 runs</x:v>
      </x:c>
      <x:c r="D2" s="52" t="n">
        <x:v>95.25</x:v>
      </x:c>
      <x:c r="E2" s="52" t="n">
        <x:v>95.24</x:v>
      </x:c>
      <x:c r="F2" s="52" t="n">
        <x:v>0.02</x:v>
      </x:c>
      <x:c r="G2" s="51" t="str">
        <x:v>Author-requested nearest-grid entry correction; midpoint rounded down following prior author choices. No per-run recomputation.</x:v>
      </x:c>
      <x:c r="H2" s="51" t="str">
        <x:v>Static input</x:v>
      </x:c>
    </x:row>
    <x:row r="3" ht="66" customHeight="1">
      <x:c r="A3" s="51" t="str">
        <x:v>2026-09-03</x:v>
      </x:c>
      <x:c r="B3" s="51" t="str">
        <x:v>Data_Input!G6</x:v>
      </x:c>
      <x:c r="C3" s="51" t="str">
        <x:v>Qwen2.5-VL-7B-Instruct; DCI; N=20; B=10; 1000 images x 5 runs</x:v>
      </x:c>
      <x:c r="D3" s="52" t="n">
        <x:v>96.05</x:v>
      </x:c>
      <x:c r="E3" s="52" t="n">
        <x:v>96.04</x:v>
      </x:c>
      <x:c r="F3" s="52" t="n">
        <x:v>0.02</x:v>
      </x:c>
      <x:c r="G3" s="51" t="str">
        <x:v>Author-requested nearest-grid entry correction; midpoint rounded down following prior author choices. No per-run recomputation.</x:v>
      </x:c>
      <x:c r="H3" s="51" t="str">
        <x:v>Static input</x:v>
      </x:c>
    </x:row>
    <x:row r="4" ht="66" customHeight="1">
      <x:c r="A4" s="51" t="str">
        <x:v>2026-09-03</x:v>
      </x:c>
      <x:c r="B4" s="51" t="str">
        <x:v>Data_Input!G12</x:v>
      </x:c>
      <x:c r="C4" s="51" t="str">
        <x:v>Qwen3-VL-2B-Instruct; DCI; N=20; B=10; 1000 images x 5 runs</x:v>
      </x:c>
      <x:c r="D4" s="52" t="n">
        <x:v>89.15</x:v>
      </x:c>
      <x:c r="E4" s="52" t="n">
        <x:v>89.14</x:v>
      </x:c>
      <x:c r="F4" s="52" t="n">
        <x:v>0.02</x:v>
      </x:c>
      <x:c r="G4" s="51" t="str">
        <x:v>Author-requested nearest-grid entry correction; midpoint rounded down following prior author choices. No per-run recomputation.</x:v>
      </x:c>
      <x:c r="H4" s="51" t="str">
        <x:v>Static input</x:v>
      </x:c>
    </x:row>
    <x:row r="5" ht="66" customHeight="1">
      <x:c r="A5" s="51" t="str">
        <x:v>2026-09-03</x:v>
      </x:c>
      <x:c r="B5" s="51" t="str">
        <x:v>Data_Input!E30</x:v>
      </x:c>
      <x:c r="C5" s="51" t="str">
        <x:v>Kimi-VL-A3B-Instruct; Flat; N=20; 1000 images x 5 runs</x:v>
      </x:c>
      <x:c r="D5" s="52" t="n">
        <x:v>87.71</x:v>
      </x:c>
      <x:c r="E5" s="52" t="n">
        <x:v>87.7</x:v>
      </x:c>
      <x:c r="F5" s="52" t="n">
        <x:v>0.02</x:v>
      </x:c>
      <x:c r="G5" s="51" t="str">
        <x:v>Author-requested nearest-grid entry correction; midpoint rounded down following prior author choices. No per-run recomputation.</x:v>
      </x:c>
      <x:c r="H5" s="51" t="str">
        <x:v>Static input</x:v>
      </x:c>
    </x:row>
    <x:row r="6" ht="66" customHeight="1">
      <x:c r="A6" s="51" t="str">
        <x:v>2026-09-03</x:v>
      </x:c>
      <x:c r="B6" s="51" t="str">
        <x:v>Data_Input!G30</x:v>
      </x:c>
      <x:c r="C6" s="51" t="str">
        <x:v>Kimi-VL-A3B-Instruct; DCI; N=20; B=10; 1000 images x 5 runs</x:v>
      </x:c>
      <x:c r="D6" s="52" t="n">
        <x:v>83.87</x:v>
      </x:c>
      <x:c r="E6" s="52" t="n">
        <x:v>83.86</x:v>
      </x:c>
      <x:c r="F6" s="52" t="n">
        <x:v>0.02</x:v>
      </x:c>
      <x:c r="G6" s="51" t="str">
        <x:v>Author-requested nearest-grid entry correction; midpoint rounded down following prior author choices. No per-run recomputation.</x:v>
      </x:c>
      <x:c r="H6" s="51" t="str">
        <x:v>Static input</x:v>
      </x:c>
    </x:row>
    <x:row r="7" ht="66" customHeight="1">
      <x:c r="A7" s="51" t="str">
        <x:v>2026-09-03</x:v>
      </x:c>
      <x:c r="B7" s="51" t="str">
        <x:v>Data_Input!E36</x:v>
      </x:c>
      <x:c r="C7" s="51" t="str">
        <x:v>Gemma-4-E4B; Flat; N=20; 1000 images x 5 runs</x:v>
      </x:c>
      <x:c r="D7" s="52" t="n">
        <x:v>82.17</x:v>
      </x:c>
      <x:c r="E7" s="52" t="n">
        <x:v>82.16</x:v>
      </x:c>
      <x:c r="F7" s="52" t="n">
        <x:v>0.02</x:v>
      </x:c>
      <x:c r="G7" s="51" t="str">
        <x:v>Author-requested nearest-grid entry correction; midpoint rounded down following prior author choices. No per-run recomputation.</x:v>
      </x:c>
      <x:c r="H7" s="51" t="str">
        <x:v>Static input</x:v>
      </x:c>
    </x:row>
    <x:row r="8" ht="66" customHeight="1">
      <x:c r="A8" s="51"/>
      <x:c r="B8" s="51"/>
      <x:c r="C8" s="51"/>
      <x:c r="D8" s="51"/>
      <x:c r="E8" s="51"/>
      <x:c r="F8" s="51"/>
      <x:c r="G8" s="51"/>
      <x:c r="H8" s="51"/>
    </x:row>
    <x:row r="9" ht="66" customHeight="1">
      <x:c r="A9" s="51" t="str">
        <x:v>Scope</x:v>
      </x:c>
      <x:c r="B9" s="51" t="str">
        <x:v>Entry / derived-value corrections</x:v>
      </x:c>
      <x:c r="C9" s="51" t="str">
        <x:v>SD, latency, costs, and historical Raw Data unchanged.</x:v>
      </x:c>
      <x:c r="D9" s="51"/>
      <x:c r="E9" s="51"/>
      <x:c r="F9" s="51"/>
      <x:c r="G9" s="51" t="str">
        <x:v>Original files backed up; no original five-run counts were available. Midpoint rule is a processing convention, not new experimental verification.</x:v>
      </x:c>
      <x:c r="H9" s="51" t="str">
        <x:v>Previous N10 Corrections and Confirmation Log sheets preserved.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5" hidden="0" customWidth="1"/>
    <x:col min="3" max="3" width="17" hidden="0" customWidth="1"/>
    <x:col min="4" max="4" width="17" hidden="0" customWidth="1"/>
    <x:col min="5" max="5" width="16" hidden="0" customWidth="1"/>
    <x:col min="6" max="6" width="10" hidden="0" customWidth="1"/>
    <x:col min="7" max="7" width="14" hidden="0" customWidth="1"/>
    <x:col min="8" max="8" width="18" hidden="0" customWidth="1"/>
    <x:col min="9" max="9" width="55" hidden="0" customWidth="1"/>
  </x:cols>
  <x:sheetData>
    <x:row r="1" ht="36" customHeight="1">
      <x:c r="A1" s="57" t="str">
        <x:v>Date</x:v>
      </x:c>
      <x:c r="B1" s="57" t="str">
        <x:v>Setting</x:v>
      </x:c>
      <x:c r="C1" s="57" t="str">
        <x:v>Previous mean (%)</x:v>
      </x:c>
      <x:c r="D1" s="57" t="str">
        <x:v>Author input (%)</x:v>
      </x:c>
      <x:c r="E1" s="57" t="str">
        <x:v>Images / run</x:v>
      </x:c>
      <x:c r="F1" s="57" t="str">
        <x:v>Runs</x:v>
      </x:c>
      <x:c r="G1" s="57" t="str">
        <x:v>Step (pp)</x:v>
      </x:c>
      <x:c r="H1" s="57" t="str">
        <x:v>Updated mean (%)</x:v>
      </x:c>
      <x:c r="I1" s="57" t="str">
        <x:v>Basis</x:v>
      </x:c>
    </x:row>
    <x:row r="2" ht="86" customHeight="1">
      <x:c r="A2" s="51" t="str">
        <x:v>2026-09-03</x:v>
      </x:c>
      <x:c r="B2" s="51" t="str">
        <x:v>Kimi-VL-A3B-Instruct; DCI; N=B=10</x:v>
      </x:c>
      <x:c r="C2" s="52" t="n">
        <x:v>88.84</x:v>
      </x:c>
      <x:c r="D2" s="52" t="n">
        <x:v>93.15</x:v>
      </x:c>
      <x:c r="E2" s="51" t="n">
        <x:v>500</x:v>
      </x:c>
      <x:c r="F2" s="51" t="n">
        <x:v>5</x:v>
      </x:c>
      <x:c r="G2" s="52" t="n">
        <x:f>100/(E2*F2)</x:f>
        <x:v>0.04</x:v>
      </x:c>
      <x:c r="H2" s="52" t="n">
        <x:f>ROUND(D2/G2,0)*G2</x:f>
        <x:v>93.16</x:v>
      </x:c>
      <x:c r="I2" s="51" t="str">
        <x:v>Author-supplied correction, followed by requested nearest-step adjustment. No per-run counts available.</x:v>
      </x:c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</x:row>
    <x:row r="4" ht="36" customHeight="1">
      <x:c r="A4" s="57" t="str">
        <x:v>Flat mean (%)</x:v>
      </x:c>
      <x:c r="B4" s="57" t="str">
        <x:v>Flat SD (pp)</x:v>
      </x:c>
      <x:c r="C4" s="57" t="str">
        <x:v>DCI SD (pp)</x:v>
      </x:c>
      <x:c r="D4" s="57" t="str">
        <x:v>Gain before (pp)</x:v>
      </x:c>
      <x:c r="E4" s="57" t="str">
        <x:v>Gain after (pp)</x:v>
      </x:c>
      <x:c r="F4" s="57"/>
      <x:c r="G4" s="57"/>
      <x:c r="H4" s="57"/>
      <x:c r="I4" s="57" t="str">
        <x:v>SD values retained; not recomputed.</x:v>
      </x:c>
    </x:row>
    <x:row r="5">
      <x:c r="A5" s="58" t="n">
        <x:v>94.28</x:v>
      </x:c>
      <x:c r="B5" s="58" t="n">
        <x:v>1.83</x:v>
      </x:c>
      <x:c r="C5" s="58" t="n">
        <x:v>1.72</x:v>
      </x:c>
      <x:c r="D5" s="58" t="n">
        <x:f>ROUND(C2-A5,2)</x:f>
        <x:v>-5.44</x:v>
      </x:c>
      <x:c r="E5" s="58" t="n">
        <x:f>ROUND(H2-A5,2)</x:f>
        <x:v>-1.12</x:v>
      </x:c>
      <x:c r="F5" s="48"/>
      <x:c r="G5" s="48"/>
      <x:c r="H5" s="48"/>
      <x:c r="I5" s="48"/>
    </x:row>
    <x:row r="6">
      <x:c r="A6" s="48"/>
      <x:c r="B6" s="48"/>
      <x:c r="C6" s="48"/>
      <x:c r="D6" s="48"/>
      <x:c r="E6" s="48"/>
      <x:c r="F6" s="48"/>
      <x:c r="G6" s="48"/>
      <x:c r="H6" s="48"/>
      <x:c r="I6" s="48"/>
    </x:row>
    <x:row r="7" ht="40" customHeight="1">
      <x:c r="A7" s="51" t="str">
        <x:v>Prompt clarification: DCI and Flat do not use identical templates. DCI additionally permits None when none of the local candidate labels matches the image.</x:v>
      </x:c>
      <x:c r="B7" s="51"/>
      <x:c r="C7" s="51"/>
      <x:c r="D7" s="51"/>
      <x:c r="E7" s="51"/>
      <x:c r="F7" s="51"/>
      <x:c r="G7" s="51"/>
      <x:c r="H7" s="51"/>
      <x:c r="I7" s="51"/>
    </x:row>
    <x:row r="8" ht="40" customHeight="1">
      <x:c r="A8" s="51" t="str">
        <x:v>Previous correction logs are historical records and are preserved. The current value in the experiment table is 93.16%.</x:v>
      </x:c>
      <x:c r="B8" s="51"/>
      <x:c r="C8" s="51"/>
      <x:c r="D8" s="51"/>
      <x:c r="E8" s="51"/>
      <x:c r="F8" s="51"/>
      <x:c r="G8" s="51"/>
      <x:c r="H8" s="51"/>
      <x:c r="I8" s="51"/>
    </x:row>
  </x:sheetData>
  <x:mergeCells>
    <x:mergeCell ref="A7:I7"/>
    <x:mergeCell ref="A8:I8"/>
  </x:mergeCells>
  <x:pageMargins left="0.7" right="0.7" top="0.75" bottom="0.75" header="0.3" footer="0.3"/>
</x:worksheet>
</file>