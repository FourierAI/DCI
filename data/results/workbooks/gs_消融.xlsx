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5359fcfc3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be90de51624569"/>
    <x:sheet xmlns:r="http://schemas.openxmlformats.org/officeDocument/2006/relationships" name="Raw Data" sheetId="2" r:id="Rbf760519caa04d99"/>
    <x:sheet xmlns:r="http://schemas.openxmlformats.org/officeDocument/2006/relationships" name="Figure Data" sheetId="3" r:id="R3481d055b5654054"/>
    <x:sheet xmlns:r="http://schemas.openxmlformats.org/officeDocument/2006/relationships" name="SD Authority" sheetId="4" r:id="Rf63d987666d04961"/>
  </x:sheets>
</x:workbook>
</file>

<file path=xl/sharedStrings.xml><?xml version="1.0" encoding="utf-8"?>
<x:sst xmlns:x="http://schemas.openxmlformats.org/spreadsheetml/2006/main">
  <x:si>
    <x:t xml:space="preserve">Source data for group-size accuracy and latency figure</x:t>
  </x:si>
  <x:si>
    <x:t xml:space="preserve">Item</x:t>
  </x:si>
  <x:si>
    <x:t xml:space="preserve">Description</x:t>
  </x:si>
  <x:si>
    <x:t xml:space="preserve">Model</x:t>
  </x:si>
  <x:si>
    <x:t xml:space="preserve">Qwen3-VL-8B</x:t>
  </x:si>
  <x:si>
    <x:t xml:space="preserve">Datasets</x:t>
  </x:si>
  <x:si>
    <x:t xml:space="preserve">CIFAR-100 and ImageNet-1K</x:t>
  </x:si>
  <x:si>
    <x:t xml:space="preserve">Configurations</x:t>
  </x:si>
  <x:si>
    <x:t xml:space="preserve">B = 2, 5, 10, 20, 50, and Baseline</x:t>
  </x:si>
  <x:si>
    <x:t xml:space="preserve">Metrics</x:t>
  </x:si>
  <x:si>
    <x:t xml:space="preserve">Top-1 accuracy (%) and inference latency (s/image)</x:t>
  </x:si>
  <x:si>
    <x:t xml:space="preserve">Statistics</x:t>
  </x:si>
  <x:si>
    <x:t xml:space="preserve">Mean and standard deviation over five independent runs</x:t>
  </x:si>
  <x:si>
    <x:t xml:space="preserve">Baseline note</x:t>
  </x:si>
  <x:si>
    <x:t xml:space="preserve">Baseline is the final categorical point; it has no numeric group size B.</x:t>
  </x:si>
  <x:si>
    <x:t xml:space="preserve">Dataset</x:t>
  </x:si>
  <x:si>
    <x:t xml:space="preserve">Metric</x:t>
  </x:si>
  <x:si>
    <x:t xml:space="preserve">Configuration</x:t>
  </x:si>
  <x:si>
    <x:t xml:space="preserve">Group Size B</x:t>
  </x:si>
  <x:si>
    <x:t xml:space="preserve">Mean</x:t>
  </x:si>
  <x:si>
    <x:t xml:space="preserve">Std</x:t>
  </x:si>
  <x:si>
    <x:t xml:space="preserve">Unit</x:t>
  </x:si>
  <x:si>
    <x:t xml:space="preserve">Runs</x:t>
  </x:si>
  <x:si>
    <x:t xml:space="preserve">CIFAR-100</x:t>
  </x:si>
  <x:si>
    <x:t xml:space="preserve">Top-1 accuracy</x:t>
  </x:si>
  <x:si>
    <x:t xml:space="preserve">B = 2</x:t>
  </x:si>
  <x:si>
    <x:t xml:space="preserve">%</x:t>
  </x:si>
  <x:si>
    <x:t xml:space="preserve">B = 5</x:t>
  </x:si>
  <x:si>
    <x:t xml:space="preserve">B = 10</x:t>
  </x:si>
  <x:si>
    <x:t xml:space="preserve">B = 20</x:t>
  </x:si>
  <x:si>
    <x:t xml:space="preserve">B = 50</x:t>
  </x:si>
  <x:si>
    <x:t xml:space="preserve">Baseline</x:t>
  </x:si>
  <x:si>
    <x:t xml:space="preserve">ImageNet-1K</x:t>
  </x:si>
  <x:si>
    <x:t xml:space="preserve">Inference latency</x:t>
  </x:si>
  <x:si>
    <x:t xml:space="preserve">s/image</x:t>
  </x:si>
  <x:si>
    <x:t xml:space="preserve">Group-size scaling: figure-ready data</x:t>
  </x:si>
  <x:si>
    <x:t xml:space="preserve">CIFAR-100 Acc. Mean</x:t>
  </x:si>
  <x:si>
    <x:t xml:space="preserve">CIFAR-100 Acc. Std</x:t>
  </x:si>
  <x:si>
    <x:t xml:space="preserve">ImageNet-1K Acc. Mean</x:t>
  </x:si>
  <x:si>
    <x:t xml:space="preserve">ImageNet-1K Acc. Std</x:t>
  </x:si>
  <x:si>
    <x:t xml:space="preserve">CIFAR-100 Lat. Mean</x:t>
  </x:si>
  <x:si>
    <x:t xml:space="preserve">CIFAR-100 Lat. Std</x:t>
  </x:si>
  <x:si>
    <x:t xml:space="preserve">ImageNet-1K Lat. Mean</x:t>
  </x:si>
  <x:si>
    <x:t xml:space="preserve">ImageNet-1K Lat. Std</x:t>
  </x:si>
  <x:si>
    <x:t xml:space="preserve">Validation</x:t>
  </x:si>
  <x:si>
    <x:t xml:space="preserve">Expected configuration</x:t>
  </x:si>
  <x:si>
    <x:t xml:space="preserve">Maximum accuracy</x:t>
  </x:si>
  <x:si>
    <x:t xml:space="preserve">Minimum latency</x:t>
  </x:si>
  <x:si>
    <x:t xml:space="preserve">Best accuracy B</x:t>
  </x:si>
  <x:si>
    <x:t xml:space="preserve">Lowest latency configuration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</x:si>
</x:sst>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</x:numFmts>
  <x:fonts count="29">
    <x:font>
      <x:sz val="11"/>
      <x:name val="Carlito"/>
    </x:font>
    <x:font>
      <x:sz val="11"/>
      <x:color rgb="FFFF0000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3F4F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1">
    <x:border/>
    <x:border>
      <x:bottom style="thin">
        <x:color rgb="FFD9DEE3"/>
      </x:bottom>
    </x:border>
    <x:border>
      <x:top style="thin">
        <x:color rgb="FFD9DEE3"/>
      </x:top>
      <x:bottom style="thin">
        <x:color rgb="FFD9DEE3"/>
      </x:bottom>
    </x:border>
    <x:border>
      <x:top style="thin">
        <x:color rgb="FFD9DEE3"/>
      </x:top>
      <x:bottom style="thin">
        <x:color rgb="FFC8CDD3"/>
      </x:bottom>
    </x:border>
    <x:border>
      <x:bottom style="thin">
        <x:color rgb="FFC8CDD3"/>
      </x:bottom>
    </x:border>
    <x:border>
      <x:top style="thin">
        <x:color rgb="FFC8CDD3"/>
      </x:top>
      <x:bottom style="thin">
        <x:color rgb="FFC8CDD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5E9"/>
      </x:bottom>
    </x:border>
    <x:border>
      <x:top style="thin">
        <x:color rgb="FFE2E5E9"/>
      </x:top>
      <x:bottom style="thin">
        <x:color rgb="FFE2E5E9"/>
      </x:bottom>
    </x:border>
    <x:border>
      <x:top style="thin">
        <x:color rgb="FFE2E5E9"/>
      </x:top>
      <x:bottom style="thin">
        <x:color rgb="FFC8CDD3"/>
      </x:bottom>
    </x:border>
    <x:border>
      <x:left style="thin">
        <x:color rgb="FFC8CDD3"/>
      </x:left>
      <x:top style="thin">
        <x:color rgb="FFC8CDD3"/>
      </x:top>
      <x:bottom style="thin">
        <x:color rgb="FFC8C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6" borderId="13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4" applyNumberFormat="0" applyFill="0" applyAlignment="0" applyProtection="0">
      <x:alignment vertical="center"/>
    </x:xf>
    <x:xf numFmtId="0" fontId="13" fillId="0" borderId="14" applyNumberFormat="0" applyFill="0" applyAlignment="0" applyProtection="0">
      <x:alignment vertical="center"/>
    </x:xf>
    <x:xf numFmtId="0" fontId="14" fillId="0" borderId="15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16" applyNumberFormat="0" applyAlignment="0" applyProtection="0">
      <x:alignment vertical="center"/>
    </x:xf>
    <x:xf numFmtId="0" fontId="16" fillId="8" borderId="17" applyNumberFormat="0" applyAlignment="0" applyProtection="0">
      <x:alignment vertical="center"/>
    </x:xf>
    <x:xf numFmtId="0" fontId="17" fillId="8" borderId="16" applyNumberFormat="0" applyAlignment="0" applyProtection="0">
      <x:alignment vertical="center"/>
    </x:xf>
    <x:xf numFmtId="0" fontId="18" fillId="9" borderId="18" applyNumberFormat="0" applyAlignment="0" applyProtection="0">
      <x:alignment vertical="center"/>
    </x:xf>
    <x:xf numFmtId="0" fontId="19" fillId="0" borderId="19" applyNumberFormat="0" applyFill="0" applyAlignment="0" applyProtection="0">
      <x:alignment vertical="center"/>
    </x:xf>
    <x:xf numFmtId="0" fontId="20" fillId="0" borderId="20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0" fillId="0" borderId="0"/>
  </x:cellStyleXfs>
  <x:cellXfs count="53">
    <x:xf numFmtId="0" fontId="0" fillId="0" borderId="0" xfId="49"/>
    <x:xf numFmtId="0" fontId="1" fillId="0" borderId="0" xfId="49" applyFont="1"/>
    <x:xf numFmtId="0" fontId="2" fillId="2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/>
    <x:xf numFmtId="1" fontId="0" fillId="0" borderId="1" xfId="49" applyNumberFormat="1" applyFont="1" applyFill="1" applyBorder="1" applyAlignment="1">
      <x:alignment horizontal="right"/>
    </x:xf>
    <x:xf numFmtId="2" fontId="0" fillId="3" borderId="1" xfId="49" applyNumberFormat="1" applyFont="1" applyFill="1" applyBorder="1" applyAlignment="1">
      <x:alignment horizontal="right"/>
    </x:xf>
    <x:xf numFmtId="2" fontId="0" fillId="4" borderId="1" xfId="49" applyNumberFormat="1" applyFont="1" applyFill="1" applyBorder="1" applyAlignment="1">
      <x:alignment horizontal="right"/>
    </x:xf>
    <x:xf numFmtId="0" fontId="0" fillId="0" borderId="2" xfId="49" applyNumberFormat="1" applyFont="1" applyFill="1" applyBorder="1"/>
    <x:xf numFmtId="1" fontId="0" fillId="0" borderId="2" xfId="49" applyNumberFormat="1" applyFont="1" applyFill="1" applyBorder="1" applyAlignment="1">
      <x:alignment horizontal="right"/>
    </x:xf>
    <x:xf numFmtId="2" fontId="0" fillId="3" borderId="2" xfId="49" applyNumberFormat="1" applyFont="1" applyFill="1" applyBorder="1" applyAlignment="1">
      <x:alignment horizontal="right"/>
    </x:xf>
    <x:xf numFmtId="2" fontId="0" fillId="4" borderId="2" xfId="49" applyNumberFormat="1" applyFont="1" applyFill="1" applyBorder="1" applyAlignment="1">
      <x:alignment horizontal="right"/>
    </x:xf>
    <x:xf numFmtId="0" fontId="1" fillId="0" borderId="2" xfId="49" applyNumberFormat="1" applyFont="1" applyFill="1" applyBorder="1"/>
    <x:xf numFmtId="1" fontId="1" fillId="0" borderId="2" xfId="49" applyNumberFormat="1" applyFont="1" applyFill="1" applyBorder="1" applyAlignment="1">
      <x:alignment horizontal="right"/>
    </x:xf>
    <x:xf numFmtId="2" fontId="1" fillId="3" borderId="2" xfId="49" applyNumberFormat="1" applyFont="1" applyFill="1" applyBorder="1" applyAlignment="1">
      <x:alignment horizontal="right"/>
    </x:xf>
    <x:xf numFmtId="2" fontId="1" fillId="4" borderId="2" xfId="49" applyNumberFormat="1" applyFont="1" applyFill="1" applyBorder="1" applyAlignment="1">
      <x:alignment horizontal="right"/>
    </x:xf>
    <x:xf numFmtId="0" fontId="1" fillId="0" borderId="3" xfId="49" applyNumberFormat="1" applyFont="1" applyFill="1" applyBorder="1"/>
    <x:xf numFmtId="1" fontId="1" fillId="0" borderId="3" xfId="49" applyNumberFormat="1" applyFont="1" applyFill="1" applyBorder="1" applyAlignment="1">
      <x:alignment horizontal="right"/>
    </x:xf>
    <x:xf numFmtId="2" fontId="1" fillId="3" borderId="3" xfId="49" applyNumberFormat="1" applyFont="1" applyFill="1" applyBorder="1" applyAlignment="1">
      <x:alignment horizontal="right"/>
    </x:xf>
    <x:xf numFmtId="2" fontId="1" fillId="4" borderId="3" xfId="49" applyNumberFormat="1" applyFont="1" applyFill="1" applyBorder="1" applyAlignment="1">
      <x:alignment horizontal="right"/>
    </x:xf>
    <x:xf numFmtId="0" fontId="3" fillId="2" borderId="4" xfId="49" applyNumberFormat="1" applyFont="1" applyFill="1" applyBorder="1" applyAlignment="1">
      <x:alignment horizontal="center"/>
    </x:xf>
    <x:xf numFmtId="0" fontId="4" fillId="5" borderId="5" xfId="49" applyNumberFormat="1" applyFont="1" applyFill="1" applyBorder="1"/>
    <x:xf numFmtId="2" fontId="0" fillId="0" borderId="5" xfId="49" applyNumberFormat="1" applyFont="1" applyFill="1" applyBorder="1"/>
    <x:xf numFmtId="0" fontId="0" fillId="0" borderId="5" xfId="49" applyNumberFormat="1" applyFont="1" applyFill="1" applyBorder="1"/>
    <x:xf numFmtId="0" fontId="3" fillId="2" borderId="6" xfId="49" applyNumberFormat="1" applyFont="1" applyFill="1" applyBorder="1" applyAlignment="1">
      <x:alignment horizontal="center" vertical="center"/>
    </x:xf>
    <x:xf numFmtId="0" fontId="3" fillId="2" borderId="7" xfId="49" applyNumberFormat="1" applyFont="1" applyFill="1" applyBorder="1" applyAlignment="1">
      <x:alignment horizontal="center" vertical="center"/>
    </x:xf>
    <x:xf numFmtId="0" fontId="3" fillId="2" borderId="8" xfId="49" applyNumberFormat="1" applyFont="1" applyFill="1" applyBorder="1" applyAlignment="1">
      <x:alignment horizontal="center" vertical="center"/>
    </x:xf>
    <x:xf numFmtId="0" fontId="0" fillId="0" borderId="9" xfId="49" applyNumberFormat="1" applyFont="1" applyFill="1" applyBorder="1"/>
    <x:xf numFmtId="1" fontId="0" fillId="0" borderId="9" xfId="49" applyNumberFormat="1" applyFont="1" applyFill="1" applyBorder="1" applyAlignment="1">
      <x:alignment horizontal="right"/>
    </x:xf>
    <x:xf numFmtId="2" fontId="0" fillId="0" borderId="9" xfId="49" applyNumberFormat="1" applyFont="1" applyFill="1" applyBorder="1" applyAlignment="1">
      <x:alignment horizontal="right"/>
    </x:xf>
    <x:xf numFmtId="1" fontId="0" fillId="0" borderId="9" xfId="49" applyNumberFormat="1" applyFont="1" applyFill="1" applyBorder="1"/>
    <x:xf numFmtId="0" fontId="0" fillId="0" borderId="10" xfId="49" applyNumberFormat="1" applyFont="1" applyFill="1" applyBorder="1"/>
    <x:xf numFmtId="1" fontId="0" fillId="0" borderId="10" xfId="49" applyNumberFormat="1" applyFont="1" applyFill="1" applyBorder="1" applyAlignment="1">
      <x:alignment horizontal="right"/>
    </x:xf>
    <x:xf numFmtId="2" fontId="0" fillId="0" borderId="10" xfId="49" applyNumberFormat="1" applyFont="1" applyFill="1" applyBorder="1" applyAlignment="1">
      <x:alignment horizontal="right"/>
    </x:xf>
    <x:xf numFmtId="1" fontId="0" fillId="0" borderId="10" xfId="49" applyNumberFormat="1" applyFont="1" applyFill="1" applyBorder="1"/>
    <x:xf numFmtId="0" fontId="0" fillId="0" borderId="11" xfId="49" applyNumberFormat="1" applyFont="1" applyFill="1" applyBorder="1"/>
    <x:xf numFmtId="1" fontId="0" fillId="0" borderId="11" xfId="49" applyNumberFormat="1" applyFont="1" applyFill="1" applyBorder="1" applyAlignment="1">
      <x:alignment horizontal="right"/>
    </x:xf>
    <x:xf numFmtId="2" fontId="0" fillId="0" borderId="11" xfId="49" applyNumberFormat="1" applyFont="1" applyFill="1" applyBorder="1" applyAlignment="1">
      <x:alignment horizontal="right"/>
    </x:xf>
    <x:xf numFmtId="1" fontId="0" fillId="0" borderId="11" xfId="49" applyNumberFormat="1" applyFont="1" applyFill="1" applyBorder="1"/>
    <x:xf numFmtId="0" fontId="5" fillId="2" borderId="0" xfId="49" applyNumberFormat="1" applyFont="1" applyFill="1" applyBorder="1" applyAlignment="1">
      <x:alignment vertical="center"/>
    </x:xf>
    <x:xf numFmtId="0" fontId="3" fillId="2" borderId="12" xfId="49" applyNumberFormat="1" applyFont="1" applyFill="1" applyBorder="1" applyAlignment="1">
      <x:alignment wrapText="1"/>
    </x:xf>
    <x:xf numFmtId="0" fontId="3" fillId="2" borderId="5" xfId="49" applyNumberFormat="1" applyFont="1" applyFill="1" applyBorder="1" applyAlignment="1">
      <x:alignment wrapText="1"/>
    </x:xf>
    <x:xf numFmtId="0" fontId="4" fillId="5" borderId="12" xfId="49" applyNumberFormat="1" applyFont="1" applyFill="1" applyBorder="1" applyAlignment="1">
      <x:alignment wrapText="1"/>
    </x:xf>
    <x:xf numFmtId="0" fontId="0" fillId="0" borderId="5" xfId="49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6" fillId="37" borderId="0" xfId="0" applyNumberFormat="1" applyFont="1" applyFill="1" applyBorder="1"/>
    <x:xf numFmtId="0" fontId="27" fillId="37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38" borderId="0" xfId="0" applyNumberFormat="1" applyFont="1" applyFill="1" applyBorder="1"/>
    <x:xf numFmtId="0" fontId="28" fillId="38" borderId="0" xfId="0" applyNumberFormat="1" applyFont="1" applyFill="1" applyBorder="1"/>
    <x:xf numFmtId="0" fontId="28" fillId="38" borderId="0" xfId="0" applyNumberFormat="1" applyFont="1" applyFill="1" applyBorder="1" applyAlignment="1">
      <x:alignment wrapText="1"/>
    </x:xf>
    <x:xf numFmtId="200" fontId="2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6b9cd974d4828" /><Relationship Type="http://schemas.openxmlformats.org/officeDocument/2006/relationships/theme" Target="/xl/theme/theme1.xml" Id="R8c753877bcb84bf5" /><Relationship Type="http://schemas.openxmlformats.org/officeDocument/2006/relationships/sharedStrings" Target="/xl/sharedStrings.xml" Id="R66ab206c64f4482c" /><Relationship Type="http://schemas.openxmlformats.org/officeDocument/2006/relationships/worksheet" Target="/xl/worksheets/sheet1.xml" Id="R25be90de51624569" /><Relationship Type="http://schemas.openxmlformats.org/officeDocument/2006/relationships/worksheet" Target="/xl/worksheets/sheet2.xml" Id="Rbf760519caa04d99" /><Relationship Type="http://schemas.openxmlformats.org/officeDocument/2006/relationships/worksheet" Target="/xl/worksheets/sheet3.xml" Id="R3481d055b5654054" /><Relationship Type="http://schemas.openxmlformats.org/officeDocument/2006/relationships/worksheet" Target="/xl/worksheets/sheet4.xml" Id="Rf63d987666d04961" /></Relationships>
</file>

<file path=xl/tables/table1.xml><?xml version="1.0" encoding="utf-8"?>
<x:table xmlns:x="http://schemas.openxmlformats.org/spreadsheetml/2006/main" id="1" name="RawFigureData" displayName="RawFigureData" ref="A1:H25" totalsRowShown="0">
  <x:tableColumns count="8">
    <x:tableColumn id="1" name="Dataset"/>
    <x:tableColumn id="2" name="Metric"/>
    <x:tableColumn id="3" name="Configuration"/>
    <x:tableColumn id="4" name="Group Size B"/>
    <x:tableColumn id="5" name="Mean"/>
    <x:tableColumn id="6" name="Std"/>
    <x:tableColumn id="7" name="Unit"/>
    <x:tableColumn id="8" name="Ru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f67837c19b4c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0" customWidth="1"/>
    <x:col min="2" max="2" width="68" customWidth="1"/>
  </x:cols>
  <x:sheetData>
    <x:row r="1" ht="28" customHeight="1">
      <x:c r="A1" s="39" t="s">
        <x:v>0</x:v>
      </x:c>
      <x:c r="B1" s="39"/>
      <x:c r="C1" s="39"/>
      <x:c r="D1" s="39"/>
      <x:c r="E1" s="39"/>
      <x:c r="F1" s="39"/>
      <x:c r="G1" s="39"/>
    </x:row>
    <x:row r="3" ht="17">
      <x:c r="A3" s="40" t="s">
        <x:v>1</x:v>
      </x:c>
      <x:c r="B3" s="41" t="s">
        <x:v>2</x:v>
      </x:c>
    </x:row>
    <x:row r="4" ht="17">
      <x:c r="A4" s="42" t="s">
        <x:v>3</x:v>
      </x:c>
      <x:c r="B4" s="43" t="s">
        <x:v>4</x:v>
      </x:c>
    </x:row>
    <x:row r="5" ht="17">
      <x:c r="A5" s="42" t="s">
        <x:v>5</x:v>
      </x:c>
      <x:c r="B5" s="43" t="s">
        <x:v>6</x:v>
      </x:c>
    </x:row>
    <x:row r="6" ht="17">
      <x:c r="A6" s="42" t="s">
        <x:v>7</x:v>
      </x:c>
      <x:c r="B6" s="43" t="s">
        <x:v>8</x:v>
      </x:c>
    </x:row>
    <x:row r="7" ht="17">
      <x:c r="A7" s="42" t="s">
        <x:v>9</x:v>
      </x:c>
      <x:c r="B7" s="43" t="s">
        <x:v>10</x:v>
      </x:c>
    </x:row>
    <x:row r="8" ht="17">
      <x:c r="A8" s="42" t="s">
        <x:v>11</x:v>
      </x:c>
      <x:c r="B8" s="43" t="s">
        <x:v>12</x:v>
      </x:c>
    </x:row>
    <x:row r="9" ht="17">
      <x:c r="A9" s="42" t="s">
        <x:v>13</x:v>
      </x:c>
      <x:c r="B9" s="43" t="s">
        <x:v>14</x:v>
      </x:c>
    </x:row>
    <x:row r="11" ht="65" customHeight="1">
      <x:c r="A11" s="52" t="str">
        <x:v>SD authority (2026-09-03)</x:v>
      </x:c>
      <x:c r="B11" s="52" t="str">
        <x:v>Figure Data; manuscript SD values confirmed by the author.</x:v>
      </x:c>
    </x:row>
    <x:row r="12" ht="65" customHeight="1">
      <x:c r="A12" s="52" t="str">
        <x:v>Historical entries</x:v>
      </x:c>
      <x:c r="B12" s="52" t="str">
        <x:v>Original source / correction sheets are retained as history; use the current authority for analysis and plotting.</x:v>
      </x:c>
    </x:row>
    <x:row r="13" ht="65" customHeight="1">
      <x:c r="A13" s="52" t="str">
        <x:v>Audit trail</x:v>
      </x:c>
      <x:c r="B13" s="52" t="str">
        <x:v>SD Authority records differing or previously absent historical SD entries. No statistical recomputation.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7" customWidth="1"/>
    <x:col min="2" max="2" width="21" customWidth="1"/>
    <x:col min="3" max="3" width="16" customWidth="1"/>
    <x:col min="4" max="4" width="14" customWidth="1"/>
    <x:col min="5" max="7" width="12" customWidth="1"/>
    <x:col min="8" max="8" width="9" customWidth="1"/>
  </x:cols>
  <x:sheetData>
    <x:row r="1" ht="20" customHeight="1">
      <x:c r="A1" s="24" t="s">
        <x:v>15</x:v>
      </x:c>
      <x:c r="B1" s="25" t="s">
        <x:v>16</x:v>
      </x:c>
      <x:c r="C1" s="25" t="s">
        <x:v>17</x:v>
      </x:c>
      <x:c r="D1" s="25" t="s">
        <x:v>18</x:v>
      </x:c>
      <x:c r="E1" s="25" t="s">
        <x:v>19</x:v>
      </x:c>
      <x:c r="F1" s="25" t="s">
        <x:v>20</x:v>
      </x:c>
      <x:c r="G1" s="25" t="s">
        <x:v>21</x:v>
      </x:c>
      <x:c r="H1" s="26" t="s">
        <x:v>22</x:v>
      </x:c>
    </x:row>
    <x:row r="2" ht="20" customHeight="1">
      <x:c r="A2" s="27" t="s">
        <x:v>23</x:v>
      </x:c>
      <x:c r="B2" s="27" t="s">
        <x:v>24</x:v>
      </x:c>
      <x:c r="C2" s="27" t="s">
        <x:v>25</x:v>
      </x:c>
      <x:c r="D2" s="28">
        <x:v>2</x:v>
      </x:c>
      <x:c r="E2" s="29">
        <x:v>81.36</x:v>
      </x:c>
      <x:c r="F2" s="29">
        <x:v>0.14</x:v>
      </x:c>
      <x:c r="G2" s="27" t="s">
        <x:v>26</x:v>
      </x:c>
      <x:c r="H2" s="30">
        <x:v>5</x:v>
      </x:c>
    </x:row>
    <x:row r="3" ht="20" customHeight="1">
      <x:c r="A3" s="31" t="s">
        <x:v>23</x:v>
      </x:c>
      <x:c r="B3" s="31" t="s">
        <x:v>24</x:v>
      </x:c>
      <x:c r="C3" s="31" t="s">
        <x:v>27</x:v>
      </x:c>
      <x:c r="D3" s="32">
        <x:v>5</x:v>
      </x:c>
      <x:c r="E3" s="33">
        <x:v>81.62</x:v>
      </x:c>
      <x:c r="F3" s="33">
        <x:v>0.11</x:v>
      </x:c>
      <x:c r="G3" s="31" t="s">
        <x:v>26</x:v>
      </x:c>
      <x:c r="H3" s="34">
        <x:v>5</x:v>
      </x:c>
    </x:row>
    <x:row r="4" ht="20" customHeight="1">
      <x:c r="A4" s="31" t="s">
        <x:v>23</x:v>
      </x:c>
      <x:c r="B4" s="31" t="s">
        <x:v>24</x:v>
      </x:c>
      <x:c r="C4" s="31" t="s">
        <x:v>28</x:v>
      </x:c>
      <x:c r="D4" s="32">
        <x:v>10</x:v>
      </x:c>
      <x:c r="E4" s="33">
        <x:v>81.63</x:v>
      </x:c>
      <x:c r="F4" s="33">
        <x:v>0.08</x:v>
      </x:c>
      <x:c r="G4" s="31" t="s">
        <x:v>26</x:v>
      </x:c>
      <x:c r="H4" s="34">
        <x:v>5</x:v>
      </x:c>
    </x:row>
    <x:row r="5" ht="20" customHeight="1">
      <x:c r="A5" s="31" t="s">
        <x:v>23</x:v>
      </x:c>
      <x:c r="B5" s="31" t="s">
        <x:v>24</x:v>
      </x:c>
      <x:c r="C5" s="31" t="s">
        <x:v>29</x:v>
      </x:c>
      <x:c r="D5" s="32">
        <x:v>20</x:v>
      </x:c>
      <x:c r="E5" s="33">
        <x:v>81</x:v>
      </x:c>
      <x:c r="F5" s="33">
        <x:v>0.12</x:v>
      </x:c>
      <x:c r="G5" s="31" t="s">
        <x:v>26</x:v>
      </x:c>
      <x:c r="H5" s="34">
        <x:v>5</x:v>
      </x:c>
    </x:row>
    <x:row r="6" ht="20" customHeight="1">
      <x:c r="A6" s="31" t="s">
        <x:v>23</x:v>
      </x:c>
      <x:c r="B6" s="31" t="s">
        <x:v>24</x:v>
      </x:c>
      <x:c r="C6" s="31" t="s">
        <x:v>30</x:v>
      </x:c>
      <x:c r="D6" s="32">
        <x:v>50</x:v>
      </x:c>
      <x:c r="E6" s="33">
        <x:v>80.27</x:v>
      </x:c>
      <x:c r="F6" s="33">
        <x:v>0.15</x:v>
      </x:c>
      <x:c r="G6" s="31" t="s">
        <x:v>26</x:v>
      </x:c>
      <x:c r="H6" s="34">
        <x:v>5</x:v>
      </x:c>
    </x:row>
    <x:row r="7" ht="20" customHeight="1">
      <x:c r="A7" s="31" t="s">
        <x:v>23</x:v>
      </x:c>
      <x:c r="B7" s="31" t="s">
        <x:v>24</x:v>
      </x:c>
      <x:c r="C7" s="31" t="s">
        <x:v>31</x:v>
      </x:c>
      <x:c r="D7" s="32"/>
      <x:c r="E7" s="33">
        <x:v>78.72</x:v>
      </x:c>
      <x:c r="F7" s="33">
        <x:v>0.13</x:v>
      </x:c>
      <x:c r="G7" s="31" t="s">
        <x:v>26</x:v>
      </x:c>
      <x:c r="H7" s="34">
        <x:v>5</x:v>
      </x:c>
    </x:row>
    <x:row r="8" ht="20" customHeight="1">
      <x:c r="A8" s="31" t="s">
        <x:v>32</x:v>
      </x:c>
      <x:c r="B8" s="31" t="s">
        <x:v>24</x:v>
      </x:c>
      <x:c r="C8" s="31" t="s">
        <x:v>25</x:v>
      </x:c>
      <x:c r="D8" s="32">
        <x:v>2</x:v>
      </x:c>
      <x:c r="E8" s="33">
        <x:v>69.29</x:v>
      </x:c>
      <x:c r="F8" s="33">
        <x:v>0.24</x:v>
      </x:c>
      <x:c r="G8" s="31" t="s">
        <x:v>26</x:v>
      </x:c>
      <x:c r="H8" s="34">
        <x:v>5</x:v>
      </x:c>
    </x:row>
    <x:row r="9" ht="20" customHeight="1">
      <x:c r="A9" s="31" t="s">
        <x:v>32</x:v>
      </x:c>
      <x:c r="B9" s="31" t="s">
        <x:v>24</x:v>
      </x:c>
      <x:c r="C9" s="31" t="s">
        <x:v>27</x:v>
      </x:c>
      <x:c r="D9" s="32">
        <x:v>5</x:v>
      </x:c>
      <x:c r="E9" s="33">
        <x:v>70.92</x:v>
      </x:c>
      <x:c r="F9" s="33">
        <x:v>0.21</x:v>
      </x:c>
      <x:c r="G9" s="31" t="s">
        <x:v>26</x:v>
      </x:c>
      <x:c r="H9" s="34">
        <x:v>5</x:v>
      </x:c>
    </x:row>
    <x:row r="10" ht="20" customHeight="1">
      <x:c r="A10" s="31" t="s">
        <x:v>32</x:v>
      </x:c>
      <x:c r="B10" s="31" t="s">
        <x:v>24</x:v>
      </x:c>
      <x:c r="C10" s="31" t="s">
        <x:v>28</x:v>
      </x:c>
      <x:c r="D10" s="32">
        <x:v>10</x:v>
      </x:c>
      <x:c r="E10" s="33">
        <x:v>71.16</x:v>
      </x:c>
      <x:c r="F10" s="33">
        <x:v>0.27</x:v>
      </x:c>
      <x:c r="G10" s="31" t="s">
        <x:v>26</x:v>
      </x:c>
      <x:c r="H10" s="34">
        <x:v>5</x:v>
      </x:c>
    </x:row>
    <x:row r="11" ht="20" customHeight="1">
      <x:c r="A11" s="31" t="s">
        <x:v>32</x:v>
      </x:c>
      <x:c r="B11" s="31" t="s">
        <x:v>24</x:v>
      </x:c>
      <x:c r="C11" s="31" t="s">
        <x:v>29</x:v>
      </x:c>
      <x:c r="D11" s="32">
        <x:v>20</x:v>
      </x:c>
      <x:c r="E11" s="33">
        <x:v>70.99</x:v>
      </x:c>
      <x:c r="F11" s="33">
        <x:v>0.26</x:v>
      </x:c>
      <x:c r="G11" s="31" t="s">
        <x:v>26</x:v>
      </x:c>
      <x:c r="H11" s="34">
        <x:v>5</x:v>
      </x:c>
    </x:row>
    <x:row r="12" ht="20" customHeight="1">
      <x:c r="A12" s="31" t="s">
        <x:v>32</x:v>
      </x:c>
      <x:c r="B12" s="31" t="s">
        <x:v>24</x:v>
      </x:c>
      <x:c r="C12" s="31" t="s">
        <x:v>30</x:v>
      </x:c>
      <x:c r="D12" s="32">
        <x:v>50</x:v>
      </x:c>
      <x:c r="E12" s="33">
        <x:v>70.14</x:v>
      </x:c>
      <x:c r="F12" s="33">
        <x:v>0.23</x:v>
      </x:c>
      <x:c r="G12" s="31" t="s">
        <x:v>26</x:v>
      </x:c>
      <x:c r="H12" s="34">
        <x:v>5</x:v>
      </x:c>
    </x:row>
    <x:row r="13" ht="20" customHeight="1">
      <x:c r="A13" s="31" t="s">
        <x:v>32</x:v>
      </x:c>
      <x:c r="B13" s="31" t="s">
        <x:v>24</x:v>
      </x:c>
      <x:c r="C13" s="31" t="s">
        <x:v>31</x:v>
      </x:c>
      <x:c r="D13" s="32"/>
      <x:c r="E13" s="33">
        <x:v>67.56</x:v>
      </x:c>
      <x:c r="F13" s="33">
        <x:v>0.21</x:v>
      </x:c>
      <x:c r="G13" s="31" t="s">
        <x:v>26</x:v>
      </x:c>
      <x:c r="H13" s="34">
        <x:v>5</x:v>
      </x:c>
    </x:row>
    <x:row r="14" ht="20" customHeight="1">
      <x:c r="A14" s="31" t="s">
        <x:v>23</x:v>
      </x:c>
      <x:c r="B14" s="31" t="s">
        <x:v>33</x:v>
      </x:c>
      <x:c r="C14" s="31" t="s">
        <x:v>25</x:v>
      </x:c>
      <x:c r="D14" s="32">
        <x:v>2</x:v>
      </x:c>
      <x:c r="E14" s="33">
        <x:v>1.14</x:v>
      </x:c>
      <x:c r="F14" s="33">
        <x:v>0.01</x:v>
      </x:c>
      <x:c r="G14" s="31" t="s">
        <x:v>34</x:v>
      </x:c>
      <x:c r="H14" s="34">
        <x:v>5</x:v>
      </x:c>
    </x:row>
    <x:row r="15" ht="20" customHeight="1">
      <x:c r="A15" s="31" t="s">
        <x:v>23</x:v>
      </x:c>
      <x:c r="B15" s="31" t="s">
        <x:v>33</x:v>
      </x:c>
      <x:c r="C15" s="31" t="s">
        <x:v>27</x:v>
      </x:c>
      <x:c r="D15" s="32">
        <x:v>5</x:v>
      </x:c>
      <x:c r="E15" s="33">
        <x:v>0.53</x:v>
      </x:c>
      <x:c r="F15" s="33">
        <x:v>0.01</x:v>
      </x:c>
      <x:c r="G15" s="31" t="s">
        <x:v>34</x:v>
      </x:c>
      <x:c r="H15" s="34">
        <x:v>5</x:v>
      </x:c>
    </x:row>
    <x:row r="16" ht="20" customHeight="1">
      <x:c r="A16" s="31" t="s">
        <x:v>23</x:v>
      </x:c>
      <x:c r="B16" s="31" t="s">
        <x:v>33</x:v>
      </x:c>
      <x:c r="C16" s="31" t="s">
        <x:v>28</x:v>
      </x:c>
      <x:c r="D16" s="32">
        <x:v>10</x:v>
      </x:c>
      <x:c r="E16" s="33">
        <x:v>0.37</x:v>
      </x:c>
      <x:c r="F16" s="33">
        <x:v>0</x:v>
      </x:c>
      <x:c r="G16" s="31" t="s">
        <x:v>34</x:v>
      </x:c>
      <x:c r="H16" s="34">
        <x:v>5</x:v>
      </x:c>
    </x:row>
    <x:row r="17" ht="20" customHeight="1">
      <x:c r="A17" s="31" t="s">
        <x:v>23</x:v>
      </x:c>
      <x:c r="B17" s="31" t="s">
        <x:v>33</x:v>
      </x:c>
      <x:c r="C17" s="31" t="s">
        <x:v>29</x:v>
      </x:c>
      <x:c r="D17" s="32">
        <x:v>20</x:v>
      </x:c>
      <x:c r="E17" s="33">
        <x:v>0.32</x:v>
      </x:c>
      <x:c r="F17" s="33">
        <x:v>0.01</x:v>
      </x:c>
      <x:c r="G17" s="31" t="s">
        <x:v>34</x:v>
      </x:c>
      <x:c r="H17" s="34">
        <x:v>5</x:v>
      </x:c>
    </x:row>
    <x:row r="18" ht="20" customHeight="1">
      <x:c r="A18" s="31" t="s">
        <x:v>23</x:v>
      </x:c>
      <x:c r="B18" s="31" t="s">
        <x:v>33</x:v>
      </x:c>
      <x:c r="C18" s="31" t="s">
        <x:v>30</x:v>
      </x:c>
      <x:c r="D18" s="32">
        <x:v>50</x:v>
      </x:c>
      <x:c r="E18" s="33">
        <x:v>0.26</x:v>
      </x:c>
      <x:c r="F18" s="33">
        <x:v>0</x:v>
      </x:c>
      <x:c r="G18" s="31" t="s">
        <x:v>34</x:v>
      </x:c>
      <x:c r="H18" s="34">
        <x:v>5</x:v>
      </x:c>
    </x:row>
    <x:row r="19" ht="20" customHeight="1">
      <x:c r="A19" s="31" t="s">
        <x:v>23</x:v>
      </x:c>
      <x:c r="B19" s="31" t="s">
        <x:v>33</x:v>
      </x:c>
      <x:c r="C19" s="31" t="s">
        <x:v>31</x:v>
      </x:c>
      <x:c r="D19" s="32"/>
      <x:c r="E19" s="33">
        <x:v>0.2</x:v>
      </x:c>
      <x:c r="F19" s="33">
        <x:v>0</x:v>
      </x:c>
      <x:c r="G19" s="31" t="s">
        <x:v>34</x:v>
      </x:c>
      <x:c r="H19" s="34">
        <x:v>5</x:v>
      </x:c>
    </x:row>
    <x:row r="20" ht="20" customHeight="1">
      <x:c r="A20" s="31" t="s">
        <x:v>32</x:v>
      </x:c>
      <x:c r="B20" s="31" t="s">
        <x:v>33</x:v>
      </x:c>
      <x:c r="C20" s="31" t="s">
        <x:v>25</x:v>
      </x:c>
      <x:c r="D20" s="32">
        <x:v>2</x:v>
      </x:c>
      <x:c r="E20" s="33">
        <x:v>9.06</x:v>
      </x:c>
      <x:c r="F20" s="33">
        <x:v>0.01</x:v>
      </x:c>
      <x:c r="G20" s="31" t="s">
        <x:v>34</x:v>
      </x:c>
      <x:c r="H20" s="34">
        <x:v>5</x:v>
      </x:c>
    </x:row>
    <x:row r="21" ht="20" customHeight="1">
      <x:c r="A21" s="31" t="s">
        <x:v>32</x:v>
      </x:c>
      <x:c r="B21" s="31" t="s">
        <x:v>33</x:v>
      </x:c>
      <x:c r="C21" s="31" t="s">
        <x:v>27</x:v>
      </x:c>
      <x:c r="D21" s="32">
        <x:v>5</x:v>
      </x:c>
      <x:c r="E21" s="33">
        <x:v>3.19</x:v>
      </x:c>
      <x:c r="F21" s="33">
        <x:v>0</x:v>
      </x:c>
      <x:c r="G21" s="31" t="s">
        <x:v>34</x:v>
      </x:c>
      <x:c r="H21" s="34">
        <x:v>5</x:v>
      </x:c>
    </x:row>
    <x:row r="22" ht="20" customHeight="1">
      <x:c r="A22" s="31" t="s">
        <x:v>32</x:v>
      </x:c>
      <x:c r="B22" s="31" t="s">
        <x:v>33</x:v>
      </x:c>
      <x:c r="C22" s="31" t="s">
        <x:v>28</x:v>
      </x:c>
      <x:c r="D22" s="32">
        <x:v>10</x:v>
      </x:c>
      <x:c r="E22" s="33">
        <x:v>1.91</x:v>
      </x:c>
      <x:c r="F22" s="33">
        <x:v>0.01</x:v>
      </x:c>
      <x:c r="G22" s="31" t="s">
        <x:v>34</x:v>
      </x:c>
      <x:c r="H22" s="34">
        <x:v>5</x:v>
      </x:c>
    </x:row>
    <x:row r="23" ht="20" customHeight="1">
      <x:c r="A23" s="31" t="s">
        <x:v>32</x:v>
      </x:c>
      <x:c r="B23" s="31" t="s">
        <x:v>33</x:v>
      </x:c>
      <x:c r="C23" s="31" t="s">
        <x:v>29</x:v>
      </x:c>
      <x:c r="D23" s="32">
        <x:v>20</x:v>
      </x:c>
      <x:c r="E23" s="33">
        <x:v>1.63</x:v>
      </x:c>
      <x:c r="F23" s="33">
        <x:v>0.01</x:v>
      </x:c>
      <x:c r="G23" s="31" t="s">
        <x:v>34</x:v>
      </x:c>
      <x:c r="H23" s="34">
        <x:v>5</x:v>
      </x:c>
    </x:row>
    <x:row r="24" ht="20" customHeight="1">
      <x:c r="A24" s="31" t="s">
        <x:v>32</x:v>
      </x:c>
      <x:c r="B24" s="31" t="s">
        <x:v>33</x:v>
      </x:c>
      <x:c r="C24" s="31" t="s">
        <x:v>30</x:v>
      </x:c>
      <x:c r="D24" s="32">
        <x:v>50</x:v>
      </x:c>
      <x:c r="E24" s="33">
        <x:v>1.32</x:v>
      </x:c>
      <x:c r="F24" s="33">
        <x:v>0</x:v>
      </x:c>
      <x:c r="G24" s="31" t="s">
        <x:v>34</x:v>
      </x:c>
      <x:c r="H24" s="34">
        <x:v>5</x:v>
      </x:c>
    </x:row>
    <x:row r="25" ht="20" customHeight="1">
      <x:c r="A25" s="35" t="s">
        <x:v>32</x:v>
      </x:c>
      <x:c r="B25" s="35" t="s">
        <x:v>33</x:v>
      </x:c>
      <x:c r="C25" s="35" t="s">
        <x:v>31</x:v>
      </x:c>
      <x:c r="D25" s="36"/>
      <x:c r="E25" s="37">
        <x:v>1.05</x:v>
      </x:c>
      <x:c r="F25" s="37">
        <x:v>0</x:v>
      </x:c>
      <x:c r="G25" s="35" t="s">
        <x:v>34</x:v>
      </x:c>
      <x:c r="H25" s="38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cdf67837c19b4c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2" width="14" customWidth="1"/>
    <x:col min="3" max="3" width="18" customWidth="1"/>
    <x:col min="4" max="4" width="22" customWidth="1"/>
    <x:col min="5" max="10" width="18" customWidth="1"/>
  </x:cols>
  <x:sheetData>
    <x:row r="1" ht="27" customHeight="1">
      <x:c r="A1" s="2" t="s">
        <x:v>35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22" customHeight="1">
      <x:c r="A3" s="3" t="s">
        <x:v>17</x:v>
      </x:c>
      <x:c r="B3" s="3" t="s">
        <x:v>18</x:v>
      </x:c>
      <x:c r="C3" s="3" t="s">
        <x:v>36</x:v>
      </x:c>
      <x:c r="D3" s="3" t="s">
        <x:v>37</x:v>
      </x:c>
      <x:c r="E3" s="3" t="s">
        <x:v>38</x:v>
      </x:c>
      <x:c r="F3" s="3" t="s">
        <x:v>39</x:v>
      </x:c>
      <x:c r="G3" s="3" t="s">
        <x:v>40</x:v>
      </x:c>
      <x:c r="H3" s="3" t="s">
        <x:v>41</x:v>
      </x:c>
      <x:c r="I3" s="3" t="s">
        <x:v>42</x:v>
      </x:c>
      <x:c r="J3" s="3" t="s">
        <x:v>43</x:v>
      </x:c>
    </x:row>
    <x:row r="4" ht="22" customHeight="1">
      <x:c r="A4" s="4" t="s">
        <x:v>25</x:v>
      </x:c>
      <x:c r="B4" s="5">
        <x:v>2</x:v>
      </x:c>
      <x:c r="C4" s="6" t="n">
        <x:f>'Raw Data'!E2</x:f>
        <x:v>81.36</x:v>
      </x:c>
      <x:c r="D4" s="6">
        <x:v>0.19</x:v>
      </x:c>
      <x:c r="E4" s="6" t="n">
        <x:f>'Raw Data'!E8</x:f>
        <x:v>69.29</x:v>
      </x:c>
      <x:c r="F4" s="6" t="n">
        <x:f>'Raw Data'!F8</x:f>
        <x:v>0.24</x:v>
      </x:c>
      <x:c r="G4" s="7" t="n">
        <x:f>'Raw Data'!E14</x:f>
        <x:v>1.14</x:v>
      </x:c>
      <x:c r="H4" s="7">
        <x:v>0.08</x:v>
      </x:c>
      <x:c r="I4" s="7" t="n">
        <x:f>'Raw Data'!E20</x:f>
        <x:v>9.06</x:v>
      </x:c>
      <x:c r="J4" s="7">
        <x:v>0.15</x:v>
      </x:c>
    </x:row>
    <x:row r="5" ht="22" customHeight="1">
      <x:c r="A5" s="8" t="s">
        <x:v>27</x:v>
      </x:c>
      <x:c r="B5" s="9">
        <x:v>5</x:v>
      </x:c>
      <x:c r="C5" s="10" t="n">
        <x:f>'Raw Data'!E3</x:f>
        <x:v>81.62</x:v>
      </x:c>
      <x:c r="D5" s="10">
        <x:v>0.21</x:v>
      </x:c>
      <x:c r="E5" s="10" t="n">
        <x:f>'Raw Data'!E9</x:f>
        <x:v>70.92</x:v>
      </x:c>
      <x:c r="F5" s="10">
        <x:v>0.33</x:v>
      </x:c>
      <x:c r="G5" s="11" t="n">
        <x:f>'Raw Data'!E15</x:f>
        <x:v>0.53</x:v>
      </x:c>
      <x:c r="H5" s="11">
        <x:v>0.04</x:v>
      </x:c>
      <x:c r="I5" s="11" t="n">
        <x:f>'Raw Data'!E21</x:f>
        <x:v>3.19</x:v>
      </x:c>
      <x:c r="J5" s="11">
        <x:v>0.11</x:v>
      </x:c>
    </x:row>
    <x:row r="6" s="1" customFormat="1" ht="22" customHeight="1">
      <x:c r="A6" s="12" t="s">
        <x:v>28</x:v>
      </x:c>
      <x:c r="B6" s="13">
        <x:v>10</x:v>
      </x:c>
      <x:c r="C6" s="14" t="n">
        <x:f>'Raw Data'!E4</x:f>
        <x:v>81.63</x:v>
      </x:c>
      <x:c r="D6" s="14">
        <x:v>0.18</x:v>
      </x:c>
      <x:c r="E6" s="14" t="n">
        <x:f>'Raw Data'!E10</x:f>
        <x:v>71.16</x:v>
      </x:c>
      <x:c r="F6" s="14">
        <x:v>0.44</x:v>
      </x:c>
      <x:c r="G6" s="15" t="n">
        <x:f>'Raw Data'!E16</x:f>
        <x:v>0.37</x:v>
      </x:c>
      <x:c r="H6" s="15">
        <x:v>0.09</x:v>
      </x:c>
      <x:c r="I6" s="15" t="n">
        <x:f>'Raw Data'!E22</x:f>
        <x:v>1.91</x:v>
      </x:c>
      <x:c r="J6" s="15">
        <x:v>0.09</x:v>
      </x:c>
    </x:row>
    <x:row r="7" ht="22" customHeight="1">
      <x:c r="A7" s="8" t="s">
        <x:v>29</x:v>
      </x:c>
      <x:c r="B7" s="9">
        <x:v>20</x:v>
      </x:c>
      <x:c r="C7" s="10" t="n">
        <x:f>'Raw Data'!E5</x:f>
        <x:v>81</x:v>
      </x:c>
      <x:c r="D7" s="10">
        <x:v>0.13</x:v>
      </x:c>
      <x:c r="E7" s="10" t="n">
        <x:f>'Raw Data'!E11</x:f>
        <x:v>70.99</x:v>
      </x:c>
      <x:c r="F7" s="10">
        <x:v>0.38</x:v>
      </x:c>
      <x:c r="G7" s="11" t="n">
        <x:f>'Raw Data'!E17</x:f>
        <x:v>0.32</x:v>
      </x:c>
      <x:c r="H7" s="11">
        <x:v>0.11</x:v>
      </x:c>
      <x:c r="I7" s="11" t="n">
        <x:f>'Raw Data'!E23</x:f>
        <x:v>1.63</x:v>
      </x:c>
      <x:c r="J7" s="11">
        <x:v>0.05</x:v>
      </x:c>
    </x:row>
    <x:row r="8" ht="22" customHeight="1">
      <x:c r="A8" s="8" t="s">
        <x:v>30</x:v>
      </x:c>
      <x:c r="B8" s="9">
        <x:v>50</x:v>
      </x:c>
      <x:c r="C8" s="10" t="n">
        <x:f>'Raw Data'!E6</x:f>
        <x:v>80.27</x:v>
      </x:c>
      <x:c r="D8" s="10" t="n">
        <x:f>'Raw Data'!F6</x:f>
        <x:v>0.15</x:v>
      </x:c>
      <x:c r="E8" s="10" t="n">
        <x:f>'Raw Data'!E12</x:f>
        <x:v>70.14</x:v>
      </x:c>
      <x:c r="F8" s="10" t="n">
        <x:f>'Raw Data'!F12</x:f>
        <x:v>0.23</x:v>
      </x:c>
      <x:c r="G8" s="11" t="n">
        <x:f>'Raw Data'!E18</x:f>
        <x:v>0.26</x:v>
      </x:c>
      <x:c r="H8" s="11">
        <x:v>0.04</x:v>
      </x:c>
      <x:c r="I8" s="11" t="n">
        <x:f>'Raw Data'!E24</x:f>
        <x:v>1.32</x:v>
      </x:c>
      <x:c r="J8" s="11">
        <x:v>0.08</x:v>
      </x:c>
    </x:row>
    <x:row r="9" s="1" customFormat="1" ht="22" customHeight="1">
      <x:c r="A9" s="16" t="s">
        <x:v>31</x:v>
      </x:c>
      <x:c r="B9" s="17"/>
      <x:c r="C9" s="18" t="n">
        <x:f>'Raw Data'!E7</x:f>
        <x:v>78.72</x:v>
      </x:c>
      <x:c r="D9" s="18">
        <x:v>0.16</x:v>
      </x:c>
      <x:c r="E9" s="18" t="n">
        <x:f>'Raw Data'!E13</x:f>
        <x:v>67.56</x:v>
      </x:c>
      <x:c r="F9" s="18">
        <x:v>0.38</x:v>
      </x:c>
      <x:c r="G9" s="19" t="n">
        <x:f>'Raw Data'!E19</x:f>
        <x:v>0.2</x:v>
      </x:c>
      <x:c r="H9" s="19">
        <x:v>0.05</x:v>
      </x:c>
      <x:c r="I9" s="19" t="n">
        <x:f>'Raw Data'!E25</x:f>
        <x:v>1.05</x:v>
      </x:c>
      <x:c r="J9" s="19">
        <x:v>0.06</x:v>
      </x:c>
    </x:row>
    <x:row r="12">
      <x:c r="A12" s="20" t="s">
        <x:v>44</x:v>
      </x:c>
      <x:c r="B12" s="20" t="s">
        <x:v>23</x:v>
      </x:c>
      <x:c r="C12" s="20" t="s">
        <x:v>32</x:v>
      </x:c>
      <x:c r="D12" s="20" t="s">
        <x:v>45</x:v>
      </x:c>
    </x:row>
    <x:row r="13">
      <x:c r="A13" s="21" t="s">
        <x:v>46</x:v>
      </x:c>
      <x:c r="B13" s="22" t="n">
        <x:f>MAX(C4:C9)</x:f>
        <x:v>81.63</x:v>
      </x:c>
      <x:c r="C13" s="22" t="n">
        <x:f>MAX(E4:E9)</x:f>
        <x:v>71.16</x:v>
      </x:c>
      <x:c r="D13" s="23" t="s">
        <x:v>28</x:v>
      </x:c>
    </x:row>
    <x:row r="14">
      <x:c r="A14" s="21" t="s">
        <x:v>47</x:v>
      </x:c>
      <x:c r="B14" s="22" t="n">
        <x:f>MIN(G4:G9)</x:f>
        <x:v>0.2</x:v>
      </x:c>
      <x:c r="C14" s="22" t="n">
        <x:f>MIN(I4:I9)</x:f>
        <x:v>1.05</x:v>
      </x:c>
      <x:c r="D14" s="23" t="s">
        <x:v>31</x:v>
      </x:c>
    </x:row>
    <x:row r="15">
      <x:c r="A15" s="21" t="s">
        <x:v>48</x:v>
      </x:c>
      <x:c r="B15" s="23">
        <x:v>10</x:v>
      </x:c>
      <x:c r="C15" s="23">
        <x:v>10</x:v>
      </x:c>
      <x:c r="D15" s="23" t="s">
        <x:v>28</x:v>
      </x:c>
    </x:row>
    <x:row r="16">
      <x:c r="A16" s="21" t="s">
        <x:v>49</x:v>
      </x:c>
      <x:c r="B16" s="23" t="s">
        <x:v>31</x:v>
      </x:c>
      <x:c r="C16" s="23" t="s">
        <x:v>31</x:v>
      </x:c>
      <x:c r="D16" s="23" t="s">
        <x:v>31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17" hidden="0" customWidth="1"/>
    <x:col min="4" max="4" width="25" hidden="0" customWidth="1"/>
    <x:col min="5" max="5" width="17" hidden="0" customWidth="1"/>
    <x:col min="6" max="6" width="48" hidden="0" customWidth="1"/>
  </x:cols>
  <x:sheetData>
    <x:row r="1" ht="30" customHeight="1">
      <x:c r="A1" s="46" t="str">
        <x:v>SD reporting authority — author confirmed 2026-09-03</x:v>
      </x:c>
      <x:c r="B1" s="46"/>
      <x:c r="C1" s="46"/>
      <x:c r="D1" s="46"/>
      <x:c r="E1" s="46"/>
      <x:c r="F1" s="46"/>
    </x:row>
    <x:row r="2" ht="25" customHeight="1">
      <x:c r="A2" s="47" t="str">
        <x:v>Use the SD values already reported in the manuscript (Figure Data). Historical source entries are retained for provenance. This confirms the reporting version; SDs are not recomputed or converted.</x:v>
      </x:c>
      <x:c r="B2" s="47"/>
      <x:c r="C2" s="47"/>
      <x:c r="D2" s="47"/>
      <x:c r="E2" s="47"/>
      <x:c r="F2" s="47"/>
    </x:row>
    <x:row r="3" ht="25" customHeight="1">
      <x:c r="A3" s="47"/>
      <x:c r="B3" s="47"/>
      <x:c r="C3" s="47"/>
      <x:c r="D3" s="47"/>
      <x:c r="E3" s="47"/>
      <x:c r="F3" s="47"/>
    </x:row>
    <x:row r="4" ht="36" customHeight="1">
      <x:c r="A4" s="50" t="str">
        <x:v>Setting / scope</x:v>
      </x:c>
      <x:c r="B4" s="50" t="str">
        <x:v>Historical cell</x:v>
      </x:c>
      <x:c r="C4" s="50" t="str">
        <x:v>Historical SD</x:v>
      </x:c>
      <x:c r="D4" s="50" t="str">
        <x:v>Current authority cell</x:v>
      </x:c>
      <x:c r="E4" s="50" t="str">
        <x:v>Selected SD</x:v>
      </x:c>
      <x:c r="F4" s="50" t="str">
        <x:v>Status / provenance</x:v>
      </x:c>
    </x:row>
    <x:row r="5" ht="44" customHeight="1">
      <x:c r="A5" s="47" t="str">
        <x:v>CIFAR-100 accuracy B=2</x:v>
      </x:c>
      <x:c r="B5" s="47" t="str">
        <x:v>Raw Data!F2</x:v>
      </x:c>
      <x:c r="C5" s="51" t="n">
        <x:v>0.14</x:v>
      </x:c>
      <x:c r="D5" s="47" t="str">
        <x:v>Figure Data!D4</x:v>
      </x:c>
      <x:c r="E5" s="51" t="n">
        <x:f>'Figure Data'!D4</x:f>
        <x:v>0.19</x:v>
      </x:c>
      <x:c r="F5" s="47" t="str">
        <x:v>Historical value preserved; manuscript SD selected.</x:v>
      </x:c>
    </x:row>
    <x:row r="6" ht="44" customHeight="1">
      <x:c r="A6" s="47" t="str">
        <x:v>CIFAR-100 accuracy B=5</x:v>
      </x:c>
      <x:c r="B6" s="47" t="str">
        <x:v>Raw Data!F3</x:v>
      </x:c>
      <x:c r="C6" s="51" t="n">
        <x:v>0.11</x:v>
      </x:c>
      <x:c r="D6" s="47" t="str">
        <x:v>Figure Data!D5</x:v>
      </x:c>
      <x:c r="E6" s="51" t="n">
        <x:f>'Figure Data'!D5</x:f>
        <x:v>0.21</x:v>
      </x:c>
      <x:c r="F6" s="47" t="str">
        <x:v>Historical value preserved; manuscript SD selected.</x:v>
      </x:c>
    </x:row>
    <x:row r="7" ht="44" customHeight="1">
      <x:c r="A7" s="47" t="str">
        <x:v>CIFAR-100 accuracy B=10</x:v>
      </x:c>
      <x:c r="B7" s="47" t="str">
        <x:v>Raw Data!F4</x:v>
      </x:c>
      <x:c r="C7" s="51" t="n">
        <x:v>0.08</x:v>
      </x:c>
      <x:c r="D7" s="47" t="str">
        <x:v>Figure Data!D6</x:v>
      </x:c>
      <x:c r="E7" s="51" t="n">
        <x:f>'Figure Data'!D6</x:f>
        <x:v>0.18</x:v>
      </x:c>
      <x:c r="F7" s="47" t="str">
        <x:v>Historical value preserved; manuscript SD selected.</x:v>
      </x:c>
    </x:row>
    <x:row r="8" ht="44" customHeight="1">
      <x:c r="A8" s="47" t="str">
        <x:v>CIFAR-100 accuracy B=20</x:v>
      </x:c>
      <x:c r="B8" s="47" t="str">
        <x:v>Raw Data!F5</x:v>
      </x:c>
      <x:c r="C8" s="51" t="n">
        <x:v>0.12</x:v>
      </x:c>
      <x:c r="D8" s="47" t="str">
        <x:v>Figure Data!D7</x:v>
      </x:c>
      <x:c r="E8" s="51" t="n">
        <x:f>'Figure Data'!D7</x:f>
        <x:v>0.13</x:v>
      </x:c>
      <x:c r="F8" s="47" t="str">
        <x:v>Historical value preserved; manuscript SD selected.</x:v>
      </x:c>
    </x:row>
    <x:row r="9" ht="44" customHeight="1">
      <x:c r="A9" s="47" t="str">
        <x:v>CIFAR-100 accuracy B=null</x:v>
      </x:c>
      <x:c r="B9" s="47" t="str">
        <x:v>Raw Data!F7</x:v>
      </x:c>
      <x:c r="C9" s="51" t="n">
        <x:v>0.13</x:v>
      </x:c>
      <x:c r="D9" s="47" t="str">
        <x:v>Figure Data!D9</x:v>
      </x:c>
      <x:c r="E9" s="51" t="n">
        <x:f>'Figure Data'!D9</x:f>
        <x:v>0.16</x:v>
      </x:c>
      <x:c r="F9" s="47" t="str">
        <x:v>Historical value preserved; manuscript SD selected.</x:v>
      </x:c>
    </x:row>
    <x:row r="10" ht="44" customHeight="1">
      <x:c r="A10" s="47" t="str">
        <x:v>ImageNet-1K accuracy B=5</x:v>
      </x:c>
      <x:c r="B10" s="47" t="str">
        <x:v>Raw Data!F9</x:v>
      </x:c>
      <x:c r="C10" s="51" t="n">
        <x:v>0.21</x:v>
      </x:c>
      <x:c r="D10" s="47" t="str">
        <x:v>Figure Data!F5</x:v>
      </x:c>
      <x:c r="E10" s="51" t="n">
        <x:f>'Figure Data'!F5</x:f>
        <x:v>0.33</x:v>
      </x:c>
      <x:c r="F10" s="47" t="str">
        <x:v>Historical value preserved; manuscript SD selected.</x:v>
      </x:c>
    </x:row>
    <x:row r="11" ht="44" customHeight="1">
      <x:c r="A11" s="47" t="str">
        <x:v>ImageNet-1K accuracy B=10</x:v>
      </x:c>
      <x:c r="B11" s="47" t="str">
        <x:v>Raw Data!F10</x:v>
      </x:c>
      <x:c r="C11" s="51" t="n">
        <x:v>0.27</x:v>
      </x:c>
      <x:c r="D11" s="47" t="str">
        <x:v>Figure Data!F6</x:v>
      </x:c>
      <x:c r="E11" s="51" t="n">
        <x:f>'Figure Data'!F6</x:f>
        <x:v>0.44</x:v>
      </x:c>
      <x:c r="F11" s="47" t="str">
        <x:v>Historical value preserved; manuscript SD selected.</x:v>
      </x:c>
    </x:row>
    <x:row r="12" ht="44" customHeight="1">
      <x:c r="A12" s="47" t="str">
        <x:v>ImageNet-1K accuracy B=20</x:v>
      </x:c>
      <x:c r="B12" s="47" t="str">
        <x:v>Raw Data!F11</x:v>
      </x:c>
      <x:c r="C12" s="51" t="n">
        <x:v>0.26</x:v>
      </x:c>
      <x:c r="D12" s="47" t="str">
        <x:v>Figure Data!F7</x:v>
      </x:c>
      <x:c r="E12" s="51" t="n">
        <x:f>'Figure Data'!F7</x:f>
        <x:v>0.38</x:v>
      </x:c>
      <x:c r="F12" s="47" t="str">
        <x:v>Historical value preserved; manuscript SD selected.</x:v>
      </x:c>
    </x:row>
    <x:row r="13" ht="44" customHeight="1">
      <x:c r="A13" s="47" t="str">
        <x:v>ImageNet-1K accuracy B=null</x:v>
      </x:c>
      <x:c r="B13" s="47" t="str">
        <x:v>Raw Data!F13</x:v>
      </x:c>
      <x:c r="C13" s="51" t="n">
        <x:v>0.21</x:v>
      </x:c>
      <x:c r="D13" s="47" t="str">
        <x:v>Figure Data!F9</x:v>
      </x:c>
      <x:c r="E13" s="51" t="n">
        <x:f>'Figure Data'!F9</x:f>
        <x:v>0.38</x:v>
      </x:c>
      <x:c r="F13" s="47" t="str">
        <x:v>Historical value preserved; manuscript SD selected.</x:v>
      </x:c>
    </x:row>
    <x:row r="14" ht="44" customHeight="1">
      <x:c r="A14" s="47" t="str">
        <x:v>CIFAR-100 latency B=2</x:v>
      </x:c>
      <x:c r="B14" s="47" t="str">
        <x:v>Raw Data!F14</x:v>
      </x:c>
      <x:c r="C14" s="51" t="n">
        <x:v>0.01</x:v>
      </x:c>
      <x:c r="D14" s="47" t="str">
        <x:v>Figure Data!H4</x:v>
      </x:c>
      <x:c r="E14" s="51" t="n">
        <x:f>'Figure Data'!H4</x:f>
        <x:v>0.08</x:v>
      </x:c>
      <x:c r="F14" s="47" t="str">
        <x:v>Historical value preserved; manuscript SD selected.</x:v>
      </x:c>
    </x:row>
    <x:row r="15" ht="44" customHeight="1">
      <x:c r="A15" s="47" t="str">
        <x:v>CIFAR-100 latency B=5</x:v>
      </x:c>
      <x:c r="B15" s="47" t="str">
        <x:v>Raw Data!F15</x:v>
      </x:c>
      <x:c r="C15" s="51" t="n">
        <x:v>0.01</x:v>
      </x:c>
      <x:c r="D15" s="47" t="str">
        <x:v>Figure Data!H5</x:v>
      </x:c>
      <x:c r="E15" s="51" t="n">
        <x:f>'Figure Data'!H5</x:f>
        <x:v>0.04</x:v>
      </x:c>
      <x:c r="F15" s="47" t="str">
        <x:v>Historical value preserved; manuscript SD selected.</x:v>
      </x:c>
    </x:row>
    <x:row r="16" ht="44" customHeight="1">
      <x:c r="A16" s="47" t="str">
        <x:v>CIFAR-100 latency B=10</x:v>
      </x:c>
      <x:c r="B16" s="47" t="str">
        <x:v>Raw Data!F16</x:v>
      </x:c>
      <x:c r="C16" s="51" t="n">
        <x:v>0</x:v>
      </x:c>
      <x:c r="D16" s="47" t="str">
        <x:v>Figure Data!H6</x:v>
      </x:c>
      <x:c r="E16" s="51" t="n">
        <x:f>'Figure Data'!H6</x:f>
        <x:v>0.09</x:v>
      </x:c>
      <x:c r="F16" s="47" t="str">
        <x:v>Historical value preserved; manuscript SD selected.</x:v>
      </x:c>
    </x:row>
    <x:row r="17" ht="44" customHeight="1">
      <x:c r="A17" s="47" t="str">
        <x:v>CIFAR-100 latency B=20</x:v>
      </x:c>
      <x:c r="B17" s="47" t="str">
        <x:v>Raw Data!F17</x:v>
      </x:c>
      <x:c r="C17" s="51" t="n">
        <x:v>0.01</x:v>
      </x:c>
      <x:c r="D17" s="47" t="str">
        <x:v>Figure Data!H7</x:v>
      </x:c>
      <x:c r="E17" s="51" t="n">
        <x:f>'Figure Data'!H7</x:f>
        <x:v>0.11</x:v>
      </x:c>
      <x:c r="F17" s="47" t="str">
        <x:v>Historical value preserved; manuscript SD selected.</x:v>
      </x:c>
    </x:row>
    <x:row r="18" ht="44" customHeight="1">
      <x:c r="A18" s="47" t="str">
        <x:v>CIFAR-100 latency B=50</x:v>
      </x:c>
      <x:c r="B18" s="47" t="str">
        <x:v>Raw Data!F18</x:v>
      </x:c>
      <x:c r="C18" s="51" t="n">
        <x:v>0</x:v>
      </x:c>
      <x:c r="D18" s="47" t="str">
        <x:v>Figure Data!H8</x:v>
      </x:c>
      <x:c r="E18" s="51" t="n">
        <x:f>'Figure Data'!H8</x:f>
        <x:v>0.04</x:v>
      </x:c>
      <x:c r="F18" s="47" t="str">
        <x:v>Historical value preserved; manuscript SD selected.</x:v>
      </x:c>
    </x:row>
    <x:row r="19" ht="44" customHeight="1">
      <x:c r="A19" s="47" t="str">
        <x:v>CIFAR-100 latency B=null</x:v>
      </x:c>
      <x:c r="B19" s="47" t="str">
        <x:v>Raw Data!F19</x:v>
      </x:c>
      <x:c r="C19" s="51" t="n">
        <x:v>0</x:v>
      </x:c>
      <x:c r="D19" s="47" t="str">
        <x:v>Figure Data!H9</x:v>
      </x:c>
      <x:c r="E19" s="51" t="n">
        <x:f>'Figure Data'!H9</x:f>
        <x:v>0.05</x:v>
      </x:c>
      <x:c r="F19" s="47" t="str">
        <x:v>Historical value preserved; manuscript SD selected.</x:v>
      </x:c>
    </x:row>
    <x:row r="20" ht="44" customHeight="1">
      <x:c r="A20" s="47" t="str">
        <x:v>ImageNet-1K latency B=2</x:v>
      </x:c>
      <x:c r="B20" s="47" t="str">
        <x:v>Raw Data!F20</x:v>
      </x:c>
      <x:c r="C20" s="51" t="n">
        <x:v>0.01</x:v>
      </x:c>
      <x:c r="D20" s="47" t="str">
        <x:v>Figure Data!J4</x:v>
      </x:c>
      <x:c r="E20" s="51" t="n">
        <x:f>'Figure Data'!J4</x:f>
        <x:v>0.15</x:v>
      </x:c>
      <x:c r="F20" s="47" t="str">
        <x:v>Historical value preserved; manuscript SD selected.</x:v>
      </x:c>
    </x:row>
    <x:row r="21" ht="44" customHeight="1">
      <x:c r="A21" s="47" t="str">
        <x:v>ImageNet-1K latency B=5</x:v>
      </x:c>
      <x:c r="B21" s="47" t="str">
        <x:v>Raw Data!F21</x:v>
      </x:c>
      <x:c r="C21" s="51" t="n">
        <x:v>0</x:v>
      </x:c>
      <x:c r="D21" s="47" t="str">
        <x:v>Figure Data!J5</x:v>
      </x:c>
      <x:c r="E21" s="51" t="n">
        <x:f>'Figure Data'!J5</x:f>
        <x:v>0.11</x:v>
      </x:c>
      <x:c r="F21" s="47" t="str">
        <x:v>Historical value preserved; manuscript SD selected.</x:v>
      </x:c>
    </x:row>
    <x:row r="22" ht="44" customHeight="1">
      <x:c r="A22" s="47" t="str">
        <x:v>ImageNet-1K latency B=10</x:v>
      </x:c>
      <x:c r="B22" s="47" t="str">
        <x:v>Raw Data!F22</x:v>
      </x:c>
      <x:c r="C22" s="51" t="n">
        <x:v>0.01</x:v>
      </x:c>
      <x:c r="D22" s="47" t="str">
        <x:v>Figure Data!J6</x:v>
      </x:c>
      <x:c r="E22" s="51" t="n">
        <x:f>'Figure Data'!J6</x:f>
        <x:v>0.09</x:v>
      </x:c>
      <x:c r="F22" s="47" t="str">
        <x:v>Historical value preserved; manuscript SD selected.</x:v>
      </x:c>
    </x:row>
    <x:row r="23" ht="44" customHeight="1">
      <x:c r="A23" s="47" t="str">
        <x:v>ImageNet-1K latency B=20</x:v>
      </x:c>
      <x:c r="B23" s="47" t="str">
        <x:v>Raw Data!F23</x:v>
      </x:c>
      <x:c r="C23" s="51" t="n">
        <x:v>0.01</x:v>
      </x:c>
      <x:c r="D23" s="47" t="str">
        <x:v>Figure Data!J7</x:v>
      </x:c>
      <x:c r="E23" s="51" t="n">
        <x:f>'Figure Data'!J7</x:f>
        <x:v>0.05</x:v>
      </x:c>
      <x:c r="F23" s="47" t="str">
        <x:v>Historical value preserved; manuscript SD selected.</x:v>
      </x:c>
    </x:row>
    <x:row r="24" ht="44" customHeight="1">
      <x:c r="A24" s="47" t="str">
        <x:v>ImageNet-1K latency B=50</x:v>
      </x:c>
      <x:c r="B24" s="47" t="str">
        <x:v>Raw Data!F24</x:v>
      </x:c>
      <x:c r="C24" s="51" t="n">
        <x:v>0</x:v>
      </x:c>
      <x:c r="D24" s="47" t="str">
        <x:v>Figure Data!J8</x:v>
      </x:c>
      <x:c r="E24" s="51" t="n">
        <x:f>'Figure Data'!J8</x:f>
        <x:v>0.08</x:v>
      </x:c>
      <x:c r="F24" s="47" t="str">
        <x:v>Historical value preserved; manuscript SD selected.</x:v>
      </x:c>
    </x:row>
    <x:row r="25" ht="44" customHeight="1">
      <x:c r="A25" s="47" t="str">
        <x:v>ImageNet-1K latency B=null</x:v>
      </x:c>
      <x:c r="B25" s="47" t="str">
        <x:v>Raw Data!F25</x:v>
      </x:c>
      <x:c r="C25" s="51" t="n">
        <x:v>0</x:v>
      </x:c>
      <x:c r="D25" s="47" t="str">
        <x:v>Figure Data!J9</x:v>
      </x:c>
      <x:c r="E25" s="51" t="n">
        <x:f>'Figure Data'!J9</x:f>
        <x:v>0.06</x:v>
      </x:c>
      <x:c r="F25" s="47" t="str">
        <x:v>Historical value preserved; manuscript SD selected.</x:v>
      </x:c>
    </x:row>
  </x:sheetData>
  <x:mergeCells>
    <x:mergeCell ref="A1:F1"/>
    <x:mergeCell ref="A2:F3"/>
  </x:mergeCells>
  <x:pageMargins left="0.7" right="0.7" top="0.75" bottom="0.75" header="0.3" footer="0.3"/>
</x:worksheet>
</file>