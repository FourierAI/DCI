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116a50623241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8b5ddf964944946"/>
    <x:sheet xmlns:r="http://schemas.openxmlformats.org/officeDocument/2006/relationships" name="Raw Data" sheetId="2" r:id="Rb0ed6af92b3a469c"/>
    <x:sheet xmlns:r="http://schemas.openxmlformats.org/officeDocument/2006/relationships" name="Paper Table" sheetId="3" r:id="R56868021288e40a6"/>
    <x:sheet xmlns:r="http://schemas.openxmlformats.org/officeDocument/2006/relationships" name="Confirmation Log" sheetId="4" r:id="Ra314f92a446f45d4"/>
    <x:sheet xmlns:r="http://schemas.openxmlformats.org/officeDocument/2006/relationships" name="Grid Corrections" sheetId="5" r:id="R04d52a89cfb64aea"/>
    <x:sheet xmlns:r="http://schemas.openxmlformats.org/officeDocument/2006/relationships" name="SD Authority" sheetId="6" r:id="Rb0d068332f804643"/>
  </x:sheets>
</x:workbook>
</file>

<file path=xl/sharedStrings.xml><?xml version="1.0" encoding="utf-8"?>
<x:sst xmlns:x="http://schemas.openxmlformats.org/spreadsheetml/2006/main">
  <x:si>
    <x:t xml:space="preserve">ImageNet-21K group-size ablation data</x:t>
  </x:si>
  <x:si>
    <x:t xml:space="preserve">Item</x:t>
  </x:si>
  <x:si>
    <x:t xml:space="preserve">Description</x:t>
  </x:si>
  <x:si>
    <x:t xml:space="preserve">Models</x:t>
  </x:si>
  <x:si>
    <x:t xml:space="preserve">Qwen3-VL-2B and Gemma4-E4B</x:t>
  </x:si>
  <x:si>
    <x:t xml:space="preserve">Dataset</x:t>
  </x:si>
  <x:si>
    <x:t xml:space="preserve">ImageNet-21K</x:t>
  </x:si>
  <x:si>
    <x:t xml:space="preserve">Configurations</x:t>
  </x:si>
  <x:si>
    <x:t xml:space="preserve">B = 50, 100, 500, 1000, 5000, and Baseline</x:t>
  </x:si>
  <x:si>
    <x:t xml:space="preserve">Metrics</x:t>
  </x:si>
  <x:si>
    <x:t xml:space="preserve">Top-1 accuracy (%) and inference latency (s/image)</x:t>
  </x:si>
  <x:si>
    <x:t xml:space="preserve">Statistics</x:t>
  </x:si>
  <x:si>
    <x:t xml:space="preserve">Mean and standard deviation over five independent runs</x:t>
  </x:si>
  <x:si>
    <x:t xml:space="preserve">Structure</x:t>
  </x:si>
  <x:si>
    <x:t xml:space="preserve">Model</x:t>
  </x:si>
  <x:si>
    <x:t xml:space="preserve">Metric</x:t>
  </x:si>
  <x:si>
    <x:t xml:space="preserve">Configuration</x:t>
  </x:si>
  <x:si>
    <x:t xml:space="preserve">Group Size B</x:t>
  </x:si>
  <x:si>
    <x:t xml:space="preserve">Mean</x:t>
  </x:si>
  <x:si>
    <x:t xml:space="preserve">Std</x:t>
  </x:si>
  <x:si>
    <x:t xml:space="preserve">Unit</x:t>
  </x:si>
  <x:si>
    <x:t xml:space="preserve">Runs</x:t>
  </x:si>
  <x:si>
    <x:t xml:space="preserve">Qwen3-VL-2B</x:t>
  </x:si>
  <x:si>
    <x:t xml:space="preserve">Top-1 accuracy</x:t>
  </x:si>
  <x:si>
    <x:t xml:space="preserve">B = 50</x:t>
  </x:si>
  <x:si>
    <x:t xml:space="preserve">%</x:t>
  </x:si>
  <x:si>
    <x:t xml:space="preserve">B = 100</x:t>
  </x:si>
  <x:si>
    <x:t xml:space="preserve">B = 500</x:t>
  </x:si>
  <x:si>
    <x:t xml:space="preserve">B = 1000</x:t>
  </x:si>
  <x:si>
    <x:t xml:space="preserve">B = 5000</x:t>
  </x:si>
  <x:si>
    <x:t xml:space="preserve">Baseline</x:t>
  </x:si>
  <x:si>
    <x:t xml:space="preserve">Inference latency</x:t>
  </x:si>
  <x:si>
    <x:t xml:space="preserve">s/image</x:t>
  </x:si>
  <x:si>
    <x:t xml:space="preserve">Gemma4-E4B</x:t>
  </x:si>
  <x:si>
    <x:t xml:space="preserve">Performance and latency across group sizes B</x:t>
  </x:si>
  <x:si>
    <x:t xml:space="preserve">Qwen Acc. Mean</x:t>
  </x:si>
  <x:si>
    <x:t xml:space="preserve">Qwen Acc. Std</x:t>
  </x:si>
  <x:si>
    <x:t xml:space="preserve">Qwen Lat. Mean</x:t>
  </x:si>
  <x:si>
    <x:t xml:space="preserve">Qwen Lat. Std</x:t>
  </x:si>
  <x:si>
    <x:t xml:space="preserve">Gemma Acc. Mean</x:t>
  </x:si>
  <x:si>
    <x:t xml:space="preserve">Gemma Acc. Std</x:t>
  </x:si>
  <x:si>
    <x:t xml:space="preserve">Gemma Lat. Mean</x:t>
  </x:si>
  <x:si>
    <x:t xml:space="preserve">Gemma Lat. Std</x:t>
  </x:si>
  <x:si>
    <x:t xml:space="preserve">Validation</x:t>
  </x:si>
  <x:si>
    <x:t xml:space="preserve">Maximum accuracy</x:t>
  </x:si>
  <x:si>
    <x:t xml:space="preserve">Best accuracy configuration</x:t>
  </x:si>
  <x:si>
    <x:t xml:space="preserve">Minimum latency</x:t>
  </x:si>
  <x:si>
    <x:t xml:space="preserve">Lowest latency configuration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</x:si>
</x:sst>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"/>
  </x:numFmts>
  <x:fonts count="30">
    <x:font>
      <x:sz val="11"/>
      <x:name val="Carlito"/>
    </x:font>
    <x:font>
      <x:sz val="11"/>
      <x:color rgb="FFFF0000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FF0000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0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4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3F4F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17">
    <x:border/>
    <x:border>
      <x:bottom style="thin">
        <x:color rgb="FFD9DEE3"/>
      </x:bottom>
    </x:border>
    <x:border>
      <x:top style="thin">
        <x:color rgb="FFD9DEE3"/>
      </x:top>
      <x:bottom style="thin">
        <x:color rgb="FFD9DEE3"/>
      </x:bottom>
    </x:border>
    <x:border>
      <x:top style="thin">
        <x:color rgb="FFD9DEE3"/>
      </x:top>
      <x:bottom style="thin">
        <x:color rgb="FFC8CDD3"/>
      </x:bottom>
    </x:border>
    <x:border>
      <x:bottom style="thin">
        <x:color rgb="FFC8CDD3"/>
      </x:bottom>
    </x:border>
    <x:border>
      <x:top style="thin">
        <x:color rgb="FFC8CDD3"/>
      </x:top>
      <x:bottom style="thin">
        <x:color rgb="FFC8CDD3"/>
      </x:bottom>
    </x:border>
    <x:border>
      <x:bottom style="thin">
        <x:color rgb="FFE2E5E9"/>
      </x:bottom>
    </x:border>
    <x:border>
      <x:top style="thin">
        <x:color rgb="FFE2E5E9"/>
      </x:top>
      <x:bottom style="thin">
        <x:color rgb="FFE2E5E9"/>
      </x:bottom>
    </x:border>
    <x:border>
      <x:top style="thin">
        <x:color rgb="FFE2E5E9"/>
      </x:top>
      <x:bottom style="thin">
        <x:color rgb="FFC8CDD3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7" fillId="0" borderId="0" applyFont="0" applyFill="0" applyBorder="0" applyAlignment="0" applyProtection="0">
      <x:alignment vertical="center"/>
    </x:xf>
    <x:xf numFmtId="44" fontId="7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41" fontId="7" fillId="0" borderId="0" applyFont="0" applyFill="0" applyBorder="0" applyAlignment="0" applyProtection="0">
      <x:alignment vertical="center"/>
    </x:xf>
    <x:xf numFmtId="42" fontId="7" fillId="0" borderId="0" applyFon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7" fillId="7" borderId="9" applyNumberFormat="0" applyFont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10" applyNumberFormat="0" applyFill="0" applyAlignment="0" applyProtection="0">
      <x:alignment vertical="center"/>
    </x:xf>
    <x:xf numFmtId="0" fontId="14" fillId="0" borderId="10" applyNumberFormat="0" applyFill="0" applyAlignment="0" applyProtection="0">
      <x:alignment vertical="center"/>
    </x:xf>
    <x:xf numFmtId="0" fontId="15" fillId="0" borderId="11" applyNumberFormat="0" applyFill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8" borderId="12" applyNumberFormat="0" applyAlignment="0" applyProtection="0">
      <x:alignment vertical="center"/>
    </x:xf>
    <x:xf numFmtId="0" fontId="17" fillId="9" borderId="13" applyNumberFormat="0" applyAlignment="0" applyProtection="0">
      <x:alignment vertical="center"/>
    </x:xf>
    <x:xf numFmtId="0" fontId="18" fillId="9" borderId="12" applyNumberFormat="0" applyAlignment="0" applyProtection="0">
      <x:alignment vertical="center"/>
    </x:xf>
    <x:xf numFmtId="0" fontId="19" fillId="10" borderId="14" applyNumberFormat="0" applyAlignment="0" applyProtection="0">
      <x:alignment vertical="center"/>
    </x:xf>
    <x:xf numFmtId="0" fontId="20" fillId="0" borderId="15" applyNumberFormat="0" applyFill="0" applyAlignment="0" applyProtection="0">
      <x:alignment vertical="center"/>
    </x:xf>
    <x:xf numFmtId="0" fontId="21" fillId="0" borderId="16" applyNumberFormat="0" applyFill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6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5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6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5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6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5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6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5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6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5" fillId="33" borderId="0" applyNumberFormat="0" applyBorder="0" applyAlignment="0" applyProtection="0">
      <x:alignment vertical="center"/>
    </x:xf>
    <x:xf numFmtId="0" fontId="25" fillId="34" borderId="0" applyNumberFormat="0" applyBorder="0" applyAlignment="0" applyProtection="0">
      <x:alignment vertical="center"/>
    </x:xf>
    <x:xf numFmtId="0" fontId="26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  <x:xf numFmtId="0" fontId="25" fillId="37" borderId="0" applyNumberFormat="0" applyBorder="0" applyAlignment="0" applyProtection="0">
      <x:alignment vertical="center"/>
    </x:xf>
    <x:xf numFmtId="0" fontId="0" fillId="0" borderId="0"/>
  </x:cellStyleXfs>
  <x:cellXfs count="56">
    <x:xf numFmtId="0" fontId="0" fillId="0" borderId="0" xfId="49"/>
    <x:xf numFmtId="0" fontId="1" fillId="0" borderId="0" xfId="49" applyFont="1"/>
    <x:xf numFmtId="0" fontId="2" fillId="2" borderId="0" xfId="49" applyNumberFormat="1" applyFont="1" applyFill="1" applyBorder="1" applyAlignment="1">
      <x:alignment vertical="center"/>
    </x:xf>
    <x:xf numFmtId="0" fontId="3" fillId="2" borderId="0" xfId="49" applyNumberFormat="1" applyFont="1" applyFill="1" applyBorder="1" applyAlignment="1">
      <x:alignment horizontal="center" vertical="center" wrapText="1"/>
    </x:xf>
    <x:xf numFmtId="0" fontId="0" fillId="0" borderId="1" xfId="49" applyNumberFormat="1" applyFont="1" applyFill="1" applyBorder="1"/>
    <x:xf numFmtId="1" fontId="0" fillId="0" borderId="1" xfId="49" applyNumberFormat="1" applyFont="1" applyFill="1" applyBorder="1" applyAlignment="1">
      <x:alignment horizontal="right"/>
    </x:xf>
    <x:xf numFmtId="2" fontId="0" fillId="3" borderId="1" xfId="49" applyNumberFormat="1" applyFont="1" applyFill="1" applyBorder="1" applyAlignment="1">
      <x:alignment horizontal="right"/>
    </x:xf>
    <x:xf numFmtId="2" fontId="0" fillId="4" borderId="1" xfId="49" applyNumberFormat="1" applyFont="1" applyFill="1" applyBorder="1" applyAlignment="1">
      <x:alignment horizontal="right"/>
    </x:xf>
    <x:xf numFmtId="0" fontId="1" fillId="0" borderId="2" xfId="49" applyNumberFormat="1" applyFont="1" applyFill="1" applyBorder="1"/>
    <x:xf numFmtId="1" fontId="1" fillId="0" borderId="2" xfId="49" applyNumberFormat="1" applyFont="1" applyFill="1" applyBorder="1" applyAlignment="1">
      <x:alignment horizontal="right"/>
    </x:xf>
    <x:xf numFmtId="2" fontId="4" fillId="5" borderId="2" xfId="49" applyNumberFormat="1" applyFont="1" applyFill="1" applyBorder="1" applyAlignment="1">
      <x:alignment horizontal="right"/>
    </x:xf>
    <x:xf numFmtId="2" fontId="1" fillId="3" borderId="2" xfId="49" applyNumberFormat="1" applyFont="1" applyFill="1" applyBorder="1" applyAlignment="1">
      <x:alignment horizontal="right"/>
    </x:xf>
    <x:xf numFmtId="2" fontId="1" fillId="4" borderId="2" xfId="49" applyNumberFormat="1" applyFont="1" applyFill="1" applyBorder="1" applyAlignment="1">
      <x:alignment horizontal="right"/>
    </x:xf>
    <x:xf numFmtId="0" fontId="0" fillId="0" borderId="2" xfId="49" applyNumberFormat="1" applyFont="1" applyFill="1" applyBorder="1"/>
    <x:xf numFmtId="1" fontId="0" fillId="0" borderId="2" xfId="49" applyNumberFormat="1" applyFont="1" applyFill="1" applyBorder="1" applyAlignment="1">
      <x:alignment horizontal="right"/>
    </x:xf>
    <x:xf numFmtId="2" fontId="0" fillId="3" borderId="2" xfId="49" applyNumberFormat="1" applyFont="1" applyFill="1" applyBorder="1" applyAlignment="1">
      <x:alignment horizontal="right"/>
    </x:xf>
    <x:xf numFmtId="2" fontId="5" fillId="5" borderId="2" xfId="49" applyNumberFormat="1" applyFont="1" applyFill="1" applyBorder="1" applyAlignment="1">
      <x:alignment horizontal="right"/>
    </x:xf>
    <x:xf numFmtId="2" fontId="0" fillId="4" borderId="2" xfId="49" applyNumberFormat="1" applyFont="1" applyFill="1" applyBorder="1" applyAlignment="1">
      <x:alignment horizontal="right"/>
    </x:xf>
    <x:xf numFmtId="0" fontId="1" fillId="0" borderId="3" xfId="49" applyNumberFormat="1" applyFont="1" applyFill="1" applyBorder="1"/>
    <x:xf numFmtId="1" fontId="1" fillId="0" borderId="3" xfId="49" applyNumberFormat="1" applyFont="1" applyFill="1" applyBorder="1" applyAlignment="1">
      <x:alignment horizontal="right"/>
    </x:xf>
    <x:xf numFmtId="2" fontId="1" fillId="3" borderId="3" xfId="49" applyNumberFormat="1" applyFont="1" applyFill="1" applyBorder="1" applyAlignment="1">
      <x:alignment horizontal="right"/>
    </x:xf>
    <x:xf numFmtId="2" fontId="1" fillId="4" borderId="3" xfId="49" applyNumberFormat="1" applyFont="1" applyFill="1" applyBorder="1" applyAlignment="1">
      <x:alignment horizontal="right"/>
    </x:xf>
    <x:xf numFmtId="0" fontId="3" fillId="2" borderId="4" xfId="49" applyNumberFormat="1" applyFont="1" applyFill="1" applyBorder="1" applyAlignment="1">
      <x:alignment horizontal="center"/>
    </x:xf>
    <x:xf numFmtId="0" fontId="5" fillId="6" borderId="5" xfId="49" applyNumberFormat="1" applyFont="1" applyFill="1" applyBorder="1"/>
    <x:xf numFmtId="2" fontId="0" fillId="0" borderId="5" xfId="49" applyNumberFormat="1" applyFont="1" applyFill="1" applyBorder="1"/>
    <x:xf numFmtId="0" fontId="0" fillId="0" borderId="5" xfId="49" applyNumberFormat="1" applyFont="1" applyFill="1" applyBorder="1"/>
    <x:xf numFmtId="0" fontId="3" fillId="2" borderId="0" xfId="49" applyNumberFormat="1" applyFont="1" applyFill="1" applyBorder="1" applyAlignment="1">
      <x:alignment horizontal="center" vertical="center"/>
    </x:xf>
    <x:xf numFmtId="0" fontId="0" fillId="0" borderId="6" xfId="49" applyNumberFormat="1" applyFont="1" applyFill="1" applyBorder="1"/>
    <x:xf numFmtId="1" fontId="0" fillId="0" borderId="6" xfId="49" applyNumberFormat="1" applyFont="1" applyFill="1" applyBorder="1" applyAlignment="1">
      <x:alignment horizontal="right"/>
    </x:xf>
    <x:xf numFmtId="2" fontId="0" fillId="0" borderId="6" xfId="49" applyNumberFormat="1" applyFont="1" applyFill="1" applyBorder="1" applyAlignment="1">
      <x:alignment horizontal="right"/>
    </x:xf>
    <x:xf numFmtId="1" fontId="0" fillId="0" borderId="6" xfId="49" applyNumberFormat="1" applyFont="1" applyFill="1" applyBorder="1"/>
    <x:xf numFmtId="0" fontId="0" fillId="0" borderId="7" xfId="49" applyNumberFormat="1" applyFont="1" applyFill="1" applyBorder="1"/>
    <x:xf numFmtId="1" fontId="0" fillId="0" borderId="7" xfId="49" applyNumberFormat="1" applyFont="1" applyFill="1" applyBorder="1" applyAlignment="1">
      <x:alignment horizontal="right"/>
    </x:xf>
    <x:xf numFmtId="2" fontId="0" fillId="0" borderId="7" xfId="49" applyNumberFormat="1" applyFont="1" applyFill="1" applyBorder="1" applyAlignment="1">
      <x:alignment horizontal="right"/>
    </x:xf>
    <x:xf numFmtId="1" fontId="0" fillId="0" borderId="7" xfId="49" applyNumberFormat="1" applyFont="1" applyFill="1" applyBorder="1"/>
    <x:xf numFmtId="0" fontId="0" fillId="0" borderId="8" xfId="49" applyNumberFormat="1" applyFont="1" applyFill="1" applyBorder="1"/>
    <x:xf numFmtId="1" fontId="0" fillId="0" borderId="8" xfId="49" applyNumberFormat="1" applyFont="1" applyFill="1" applyBorder="1" applyAlignment="1">
      <x:alignment horizontal="right"/>
    </x:xf>
    <x:xf numFmtId="2" fontId="0" fillId="0" borderId="8" xfId="49" applyNumberFormat="1" applyFont="1" applyFill="1" applyBorder="1" applyAlignment="1">
      <x:alignment horizontal="right"/>
    </x:xf>
    <x:xf numFmtId="1" fontId="0" fillId="0" borderId="8" xfId="49" applyNumberFormat="1" applyFont="1" applyFill="1" applyBorder="1"/>
    <x:xf numFmtId="0" fontId="6" fillId="2" borderId="0" xfId="49" applyNumberFormat="1" applyFont="1" applyFill="1" applyBorder="1" applyAlignment="1">
      <x:alignment vertical="center"/>
    </x:xf>
    <x:xf numFmtId="0" fontId="3" fillId="2" borderId="4" xfId="49" applyNumberFormat="1" applyFont="1" applyFill="1" applyBorder="1" applyAlignment="1">
      <x:alignment wrapText="1"/>
    </x:xf>
    <x:xf numFmtId="0" fontId="5" fillId="6" borderId="5" xfId="49" applyNumberFormat="1" applyFont="1" applyFill="1" applyBorder="1" applyAlignment="1">
      <x:alignment wrapText="1"/>
    </x:xf>
    <x:xf numFmtId="0" fontId="0" fillId="0" borderId="5" xfId="49" applyNumberFormat="1" applyFont="1" applyFill="1" applyBorder="1" applyAlignment="1">
      <x:alignment wrapText="1"/>
    </x:xf>
    <x:xf numFmtId="0" fontId="27" fillId="0" borderId="0" xfId="0" applyNumberFormat="1" applyFont="1" applyFill="1" applyBorder="1"/>
    <x:xf numFmtId="0" fontId="27" fillId="38" borderId="0" xfId="0" applyNumberFormat="1" applyFont="1" applyFill="1" applyBorder="1"/>
    <x:xf numFmtId="0" fontId="28" fillId="38" borderId="0" xfId="0" applyNumberFormat="1" applyFont="1" applyFill="1" applyBorder="1"/>
    <x:xf numFmtId="0" fontId="27" fillId="0" borderId="0" xfId="0" applyNumberFormat="1" applyFont="1" applyFill="1" applyBorder="1" applyAlignment="1">
      <x:alignment wrapText="1"/>
    </x:xf>
    <x:xf numFmtId="200" fontId="27" fillId="0" borderId="0" xfId="0" applyNumberFormat="1" applyFont="1" applyFill="1" applyBorder="1" applyAlignment="1">
      <x:alignment wrapText="1"/>
    </x:xf>
    <x:xf numFmtId="0" fontId="27" fillId="39" borderId="0" xfId="0" applyNumberFormat="1" applyFont="1" applyFill="1" applyBorder="1"/>
    <x:xf numFmtId="0" fontId="28" fillId="39" borderId="0" xfId="0" applyNumberFormat="1" applyFont="1" applyFill="1" applyBorder="1"/>
    <x:xf numFmtId="0" fontId="27" fillId="40" borderId="0" xfId="0" applyNumberFormat="1" applyFont="1" applyFill="1" applyBorder="1"/>
    <x:xf numFmtId="0" fontId="28" fillId="40" borderId="0" xfId="0" applyNumberFormat="1" applyFont="1" applyFill="1" applyBorder="1"/>
    <x:xf numFmtId="0" fontId="27" fillId="41" borderId="0" xfId="0" applyNumberFormat="1" applyFont="1" applyFill="1" applyBorder="1"/>
    <x:xf numFmtId="0" fontId="29" fillId="41" borderId="0" xfId="0" applyNumberFormat="1" applyFont="1" applyFill="1" applyBorder="1"/>
    <x:xf numFmtId="0" fontId="29" fillId="41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e027a76f6242ae" /><Relationship Type="http://schemas.openxmlformats.org/officeDocument/2006/relationships/theme" Target="/xl/theme/theme1.xml" Id="Rabbb58cca1b040d1" /><Relationship Type="http://schemas.openxmlformats.org/officeDocument/2006/relationships/sharedStrings" Target="/xl/sharedStrings.xml" Id="Rfe37ef4a250e4142" /><Relationship Type="http://schemas.openxmlformats.org/officeDocument/2006/relationships/worksheet" Target="/xl/worksheets/sheet1.xml" Id="Rb8b5ddf964944946" /><Relationship Type="http://schemas.openxmlformats.org/officeDocument/2006/relationships/worksheet" Target="/xl/worksheets/sheet2.xml" Id="Rb0ed6af92b3a469c" /><Relationship Type="http://schemas.openxmlformats.org/officeDocument/2006/relationships/worksheet" Target="/xl/worksheets/sheet3.xml" Id="R56868021288e40a6" /><Relationship Type="http://schemas.openxmlformats.org/officeDocument/2006/relationships/worksheet" Target="/xl/worksheets/sheet4.xml" Id="Ra314f92a446f45d4" /><Relationship Type="http://schemas.openxmlformats.org/officeDocument/2006/relationships/worksheet" Target="/xl/worksheets/sheet5.xml" Id="R04d52a89cfb64aea" /><Relationship Type="http://schemas.openxmlformats.org/officeDocument/2006/relationships/worksheet" Target="/xl/worksheets/sheet6.xml" Id="Rb0d068332f804643" /></Relationships>
</file>

<file path=xl/tables/table1.xml><?xml version="1.0" encoding="utf-8"?>
<x:table xmlns:x="http://schemas.openxmlformats.org/spreadsheetml/2006/main" id="1" name="ImageNet21KRawData" displayName="ImageNet21KRawData" ref="A1:H25" totalsRowShown="0">
  <x:tableColumns count="8">
    <x:tableColumn id="1" name="Model"/>
    <x:tableColumn id="2" name="Metric"/>
    <x:tableColumn id="3" name="Configuration"/>
    <x:tableColumn id="4" name="Group Size B"/>
    <x:tableColumn id="5" name="Mean"/>
    <x:tableColumn id="6" name="Std"/>
    <x:tableColumn id="7" name="Unit"/>
    <x:tableColumn id="8" name="Ru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15c2966d1442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8" customWidth="1"/>
    <x:col min="2" max="2" width="72" customWidth="1"/>
  </x:cols>
  <x:sheetData>
    <x:row r="1" ht="28" customHeight="1">
      <x:c r="A1" s="39" t="s">
        <x:v>0</x:v>
      </x:c>
      <x:c r="B1" s="39"/>
      <x:c r="C1" s="39"/>
      <x:c r="D1" s="39"/>
      <x:c r="E1" s="39"/>
      <x:c r="F1" s="39"/>
    </x:row>
    <x:row r="3" ht="17">
      <x:c r="A3" s="40" t="s">
        <x:v>1</x:v>
      </x:c>
      <x:c r="B3" s="40" t="s">
        <x:v>2</x:v>
      </x:c>
    </x:row>
    <x:row r="4" ht="17">
      <x:c r="A4" s="41" t="s">
        <x:v>3</x:v>
      </x:c>
      <x:c r="B4" s="42" t="s">
        <x:v>4</x:v>
      </x:c>
    </x:row>
    <x:row r="5" ht="17">
      <x:c r="A5" s="41" t="s">
        <x:v>5</x:v>
      </x:c>
      <x:c r="B5" s="42" t="s">
        <x:v>6</x:v>
      </x:c>
    </x:row>
    <x:row r="6" ht="17">
      <x:c r="A6" s="41" t="s">
        <x:v>7</x:v>
      </x:c>
      <x:c r="B6" s="42" t="s">
        <x:v>8</x:v>
      </x:c>
    </x:row>
    <x:row r="7" ht="17">
      <x:c r="A7" s="41" t="s">
        <x:v>9</x:v>
      </x:c>
      <x:c r="B7" s="42" t="s">
        <x:v>10</x:v>
      </x:c>
    </x:row>
    <x:row r="8" ht="17">
      <x:c r="A8" s="41" t="s">
        <x:v>11</x:v>
      </x:c>
      <x:c r="B8" s="42" t="s">
        <x:v>12</x:v>
      </x:c>
    </x:row>
    <x:row r="9" ht="70" customHeight="1">
      <x:c r="A9" s="41" t="s">
        <x:v>13</x:v>
      </x:c>
      <x:c r="B9" s="42" t="str">
        <x:v>Raw Data preserves the historical source. Paper Table is the current figure authority, with user-confirmed mean corrections recorded in Confirmation Log.</x:v>
      </x:c>
    </x:row>
    <x:row r="11" ht="65" customHeight="1">
      <x:c r="A11" s="55" t="str">
        <x:v>SD authority (2026-09-03)</x:v>
      </x:c>
      <x:c r="B11" s="55" t="str">
        <x:v>Paper Table; manuscript SD values confirmed by the author.</x:v>
      </x:c>
    </x:row>
    <x:row r="12" ht="65" customHeight="1">
      <x:c r="A12" s="55" t="str">
        <x:v>Historical entries</x:v>
      </x:c>
      <x:c r="B12" s="55" t="str">
        <x:v>Original source / correction sheets are retained as history; use the current authority for analysis and plotting.</x:v>
      </x:c>
    </x:row>
    <x:row r="13" ht="65" customHeight="1">
      <x:c r="A13" s="55" t="str">
        <x:v>Audit trail</x:v>
      </x:c>
      <x:c r="B13" s="55" t="str">
        <x:v>SD Authority records differing or previously absent historical SD entries. No statistical recomputation.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8" customWidth="1"/>
    <x:col min="2" max="2" width="21" customWidth="1"/>
    <x:col min="3" max="3" width="16" customWidth="1"/>
    <x:col min="4" max="4" width="14" customWidth="1"/>
    <x:col min="5" max="6" width="11" customWidth="1"/>
    <x:col min="7" max="7" width="12" customWidth="1"/>
    <x:col min="8" max="8" width="8" customWidth="1"/>
  </x:cols>
  <x:sheetData>
    <x:row r="1">
      <x:c r="A1" s="26" t="s">
        <x:v>14</x:v>
      </x:c>
      <x:c r="B1" s="26" t="s">
        <x:v>15</x:v>
      </x:c>
      <x:c r="C1" s="26" t="s">
        <x:v>16</x:v>
      </x:c>
      <x:c r="D1" s="26" t="s">
        <x:v>17</x:v>
      </x:c>
      <x:c r="E1" s="26" t="s">
        <x:v>18</x:v>
      </x:c>
      <x:c r="F1" s="26" t="s">
        <x:v>19</x:v>
      </x:c>
      <x:c r="G1" s="26" t="s">
        <x:v>20</x:v>
      </x:c>
      <x:c r="H1" s="26" t="s">
        <x:v>21</x:v>
      </x:c>
    </x:row>
    <x:row r="2">
      <x:c r="A2" s="27" t="s">
        <x:v>22</x:v>
      </x:c>
      <x:c r="B2" s="27" t="s">
        <x:v>23</x:v>
      </x:c>
      <x:c r="C2" s="27" t="s">
        <x:v>24</x:v>
      </x:c>
      <x:c r="D2" s="28">
        <x:v>50</x:v>
      </x:c>
      <x:c r="E2" s="29">
        <x:v>16.55</x:v>
      </x:c>
      <x:c r="F2" s="29">
        <x:v>0.93</x:v>
      </x:c>
      <x:c r="G2" s="27" t="s">
        <x:v>25</x:v>
      </x:c>
      <x:c r="H2" s="30">
        <x:v>5</x:v>
      </x:c>
    </x:row>
    <x:row r="3">
      <x:c r="A3" s="31" t="s">
        <x:v>22</x:v>
      </x:c>
      <x:c r="B3" s="31" t="s">
        <x:v>23</x:v>
      </x:c>
      <x:c r="C3" s="31" t="s">
        <x:v>26</x:v>
      </x:c>
      <x:c r="D3" s="32">
        <x:v>100</x:v>
      </x:c>
      <x:c r="E3" s="33">
        <x:v>20.14</x:v>
      </x:c>
      <x:c r="F3" s="33">
        <x:v>1.16</x:v>
      </x:c>
      <x:c r="G3" s="31" t="s">
        <x:v>25</x:v>
      </x:c>
      <x:c r="H3" s="34">
        <x:v>5</x:v>
      </x:c>
    </x:row>
    <x:row r="4">
      <x:c r="A4" s="31" t="s">
        <x:v>22</x:v>
      </x:c>
      <x:c r="B4" s="31" t="s">
        <x:v>23</x:v>
      </x:c>
      <x:c r="C4" s="31" t="s">
        <x:v>27</x:v>
      </x:c>
      <x:c r="D4" s="32">
        <x:v>500</x:v>
      </x:c>
      <x:c r="E4" s="33">
        <x:v>19.71</x:v>
      </x:c>
      <x:c r="F4" s="33">
        <x:v>1.08</x:v>
      </x:c>
      <x:c r="G4" s="31" t="s">
        <x:v>25</x:v>
      </x:c>
      <x:c r="H4" s="34">
        <x:v>5</x:v>
      </x:c>
    </x:row>
    <x:row r="5">
      <x:c r="A5" s="31" t="s">
        <x:v>22</x:v>
      </x:c>
      <x:c r="B5" s="31" t="s">
        <x:v>23</x:v>
      </x:c>
      <x:c r="C5" s="31" t="s">
        <x:v>28</x:v>
      </x:c>
      <x:c r="D5" s="32">
        <x:v>1000</x:v>
      </x:c>
      <x:c r="E5" s="33">
        <x:v>18.25</x:v>
      </x:c>
      <x:c r="F5" s="33">
        <x:v>1.02</x:v>
      </x:c>
      <x:c r="G5" s="31" t="s">
        <x:v>25</x:v>
      </x:c>
      <x:c r="H5" s="34">
        <x:v>5</x:v>
      </x:c>
    </x:row>
    <x:row r="6">
      <x:c r="A6" s="31" t="s">
        <x:v>22</x:v>
      </x:c>
      <x:c r="B6" s="31" t="s">
        <x:v>23</x:v>
      </x:c>
      <x:c r="C6" s="31" t="s">
        <x:v>29</x:v>
      </x:c>
      <x:c r="D6" s="32">
        <x:v>5000</x:v>
      </x:c>
      <x:c r="E6" s="33">
        <x:v>13.78</x:v>
      </x:c>
      <x:c r="F6" s="33">
        <x:v>0.92</x:v>
      </x:c>
      <x:c r="G6" s="31" t="s">
        <x:v>25</x:v>
      </x:c>
      <x:c r="H6" s="34">
        <x:v>5</x:v>
      </x:c>
    </x:row>
    <x:row r="7">
      <x:c r="A7" s="31" t="s">
        <x:v>22</x:v>
      </x:c>
      <x:c r="B7" s="31" t="s">
        <x:v>23</x:v>
      </x:c>
      <x:c r="C7" s="31" t="s">
        <x:v>30</x:v>
      </x:c>
      <x:c r="D7" s="32"/>
      <x:c r="E7" s="33">
        <x:v>1.12</x:v>
      </x:c>
      <x:c r="F7" s="33">
        <x:v>0.55</x:v>
      </x:c>
      <x:c r="G7" s="31" t="s">
        <x:v>25</x:v>
      </x:c>
      <x:c r="H7" s="34">
        <x:v>5</x:v>
      </x:c>
    </x:row>
    <x:row r="8">
      <x:c r="A8" s="31" t="s">
        <x:v>22</x:v>
      </x:c>
      <x:c r="B8" s="31" t="s">
        <x:v>31</x:v>
      </x:c>
      <x:c r="C8" s="31" t="s">
        <x:v>24</x:v>
      </x:c>
      <x:c r="D8" s="32">
        <x:v>50</x:v>
      </x:c>
      <x:c r="E8" s="33">
        <x:v>13.49</x:v>
      </x:c>
      <x:c r="F8" s="33">
        <x:v>0.01</x:v>
      </x:c>
      <x:c r="G8" s="31" t="s">
        <x:v>32</x:v>
      </x:c>
      <x:c r="H8" s="34">
        <x:v>5</x:v>
      </x:c>
    </x:row>
    <x:row r="9">
      <x:c r="A9" s="31" t="s">
        <x:v>22</x:v>
      </x:c>
      <x:c r="B9" s="31" t="s">
        <x:v>31</x:v>
      </x:c>
      <x:c r="C9" s="31" t="s">
        <x:v>26</x:v>
      </x:c>
      <x:c r="D9" s="32">
        <x:v>100</x:v>
      </x:c>
      <x:c r="E9" s="33">
        <x:v>10.55</x:v>
      </x:c>
      <x:c r="F9" s="33">
        <x:v>0.02</x:v>
      </x:c>
      <x:c r="G9" s="31" t="s">
        <x:v>32</x:v>
      </x:c>
      <x:c r="H9" s="34">
        <x:v>5</x:v>
      </x:c>
    </x:row>
    <x:row r="10">
      <x:c r="A10" s="31" t="s">
        <x:v>22</x:v>
      </x:c>
      <x:c r="B10" s="31" t="s">
        <x:v>31</x:v>
      </x:c>
      <x:c r="C10" s="31" t="s">
        <x:v>27</x:v>
      </x:c>
      <x:c r="D10" s="32">
        <x:v>500</x:v>
      </x:c>
      <x:c r="E10" s="33">
        <x:v>5.99</x:v>
      </x:c>
      <x:c r="F10" s="33">
        <x:v>0.01</x:v>
      </x:c>
      <x:c r="G10" s="31" t="s">
        <x:v>32</x:v>
      </x:c>
      <x:c r="H10" s="34">
        <x:v>5</x:v>
      </x:c>
    </x:row>
    <x:row r="11">
      <x:c r="A11" s="31" t="s">
        <x:v>22</x:v>
      </x:c>
      <x:c r="B11" s="31" t="s">
        <x:v>31</x:v>
      </x:c>
      <x:c r="C11" s="31" t="s">
        <x:v>28</x:v>
      </x:c>
      <x:c r="D11" s="32">
        <x:v>1000</x:v>
      </x:c>
      <x:c r="E11" s="33">
        <x:v>6</x:v>
      </x:c>
      <x:c r="F11" s="33">
        <x:v>0.01</x:v>
      </x:c>
      <x:c r="G11" s="31" t="s">
        <x:v>32</x:v>
      </x:c>
      <x:c r="H11" s="34">
        <x:v>5</x:v>
      </x:c>
    </x:row>
    <x:row r="12">
      <x:c r="A12" s="31" t="s">
        <x:v>22</x:v>
      </x:c>
      <x:c r="B12" s="31" t="s">
        <x:v>31</x:v>
      </x:c>
      <x:c r="C12" s="31" t="s">
        <x:v>29</x:v>
      </x:c>
      <x:c r="D12" s="32">
        <x:v>5000</x:v>
      </x:c>
      <x:c r="E12" s="33">
        <x:v>6.74</x:v>
      </x:c>
      <x:c r="F12" s="33">
        <x:v>0.01</x:v>
      </x:c>
      <x:c r="G12" s="31" t="s">
        <x:v>32</x:v>
      </x:c>
      <x:c r="H12" s="34">
        <x:v>5</x:v>
      </x:c>
    </x:row>
    <x:row r="13">
      <x:c r="A13" s="31" t="s">
        <x:v>22</x:v>
      </x:c>
      <x:c r="B13" s="31" t="s">
        <x:v>31</x:v>
      </x:c>
      <x:c r="C13" s="31" t="s">
        <x:v>30</x:v>
      </x:c>
      <x:c r="D13" s="32"/>
      <x:c r="E13" s="33">
        <x:v>7.96</x:v>
      </x:c>
      <x:c r="F13" s="33">
        <x:v>0.02</x:v>
      </x:c>
      <x:c r="G13" s="31" t="s">
        <x:v>32</x:v>
      </x:c>
      <x:c r="H13" s="34">
        <x:v>5</x:v>
      </x:c>
    </x:row>
    <x:row r="14">
      <x:c r="A14" s="31" t="s">
        <x:v>33</x:v>
      </x:c>
      <x:c r="B14" s="31" t="s">
        <x:v>23</x:v>
      </x:c>
      <x:c r="C14" s="31" t="s">
        <x:v>24</x:v>
      </x:c>
      <x:c r="D14" s="32">
        <x:v>50</x:v>
      </x:c>
      <x:c r="E14" s="33">
        <x:v>12.88</x:v>
      </x:c>
      <x:c r="F14" s="33">
        <x:v>0.45</x:v>
      </x:c>
      <x:c r="G14" s="31" t="s">
        <x:v>25</x:v>
      </x:c>
      <x:c r="H14" s="34">
        <x:v>5</x:v>
      </x:c>
    </x:row>
    <x:row r="15">
      <x:c r="A15" s="31" t="s">
        <x:v>33</x:v>
      </x:c>
      <x:c r="B15" s="31" t="s">
        <x:v>23</x:v>
      </x:c>
      <x:c r="C15" s="31" t="s">
        <x:v>26</x:v>
      </x:c>
      <x:c r="D15" s="32">
        <x:v>100</x:v>
      </x:c>
      <x:c r="E15" s="33">
        <x:v>13.47</x:v>
      </x:c>
      <x:c r="F15" s="33">
        <x:v>0.65</x:v>
      </x:c>
      <x:c r="G15" s="31" t="s">
        <x:v>25</x:v>
      </x:c>
      <x:c r="H15" s="34">
        <x:v>5</x:v>
      </x:c>
    </x:row>
    <x:row r="16">
      <x:c r="A16" s="31" t="s">
        <x:v>33</x:v>
      </x:c>
      <x:c r="B16" s="31" t="s">
        <x:v>23</x:v>
      </x:c>
      <x:c r="C16" s="31" t="s">
        <x:v>27</x:v>
      </x:c>
      <x:c r="D16" s="32">
        <x:v>500</x:v>
      </x:c>
      <x:c r="E16" s="33">
        <x:v>15.82</x:v>
      </x:c>
      <x:c r="F16" s="33">
        <x:v>0.43</x:v>
      </x:c>
      <x:c r="G16" s="31" t="s">
        <x:v>25</x:v>
      </x:c>
      <x:c r="H16" s="34">
        <x:v>5</x:v>
      </x:c>
    </x:row>
    <x:row r="17">
      <x:c r="A17" s="31" t="s">
        <x:v>33</x:v>
      </x:c>
      <x:c r="B17" s="31" t="s">
        <x:v>23</x:v>
      </x:c>
      <x:c r="C17" s="31" t="s">
        <x:v>28</x:v>
      </x:c>
      <x:c r="D17" s="32">
        <x:v>1000</x:v>
      </x:c>
      <x:c r="E17" s="33">
        <x:v>12.42</x:v>
      </x:c>
      <x:c r="F17" s="33">
        <x:v>0.51</x:v>
      </x:c>
      <x:c r="G17" s="31" t="s">
        <x:v>25</x:v>
      </x:c>
      <x:c r="H17" s="34">
        <x:v>5</x:v>
      </x:c>
    </x:row>
    <x:row r="18">
      <x:c r="A18" s="31" t="s">
        <x:v>33</x:v>
      </x:c>
      <x:c r="B18" s="31" t="s">
        <x:v>23</x:v>
      </x:c>
      <x:c r="C18" s="31" t="s">
        <x:v>29</x:v>
      </x:c>
      <x:c r="D18" s="32">
        <x:v>5000</x:v>
      </x:c>
      <x:c r="E18" s="33">
        <x:v>7.82</x:v>
      </x:c>
      <x:c r="F18" s="33">
        <x:v>0.55</x:v>
      </x:c>
      <x:c r="G18" s="31" t="s">
        <x:v>25</x:v>
      </x:c>
      <x:c r="H18" s="34">
        <x:v>5</x:v>
      </x:c>
    </x:row>
    <x:row r="19">
      <x:c r="A19" s="31" t="s">
        <x:v>33</x:v>
      </x:c>
      <x:c r="B19" s="31" t="s">
        <x:v>23</x:v>
      </x:c>
      <x:c r="C19" s="31" t="s">
        <x:v>30</x:v>
      </x:c>
      <x:c r="D19" s="32"/>
      <x:c r="E19" s="33">
        <x:v>2.13</x:v>
      </x:c>
      <x:c r="F19" s="33">
        <x:v>0.32</x:v>
      </x:c>
      <x:c r="G19" s="31" t="s">
        <x:v>25</x:v>
      </x:c>
      <x:c r="H19" s="34">
        <x:v>5</x:v>
      </x:c>
    </x:row>
    <x:row r="20">
      <x:c r="A20" s="31" t="s">
        <x:v>33</x:v>
      </x:c>
      <x:c r="B20" s="31" t="s">
        <x:v>31</x:v>
      </x:c>
      <x:c r="C20" s="31" t="s">
        <x:v>24</x:v>
      </x:c>
      <x:c r="D20" s="32">
        <x:v>50</x:v>
      </x:c>
      <x:c r="E20" s="33">
        <x:v>10.33</x:v>
      </x:c>
      <x:c r="F20" s="33">
        <x:v>0.01</x:v>
      </x:c>
      <x:c r="G20" s="31" t="s">
        <x:v>32</x:v>
      </x:c>
      <x:c r="H20" s="34">
        <x:v>5</x:v>
      </x:c>
    </x:row>
    <x:row r="21">
      <x:c r="A21" s="31" t="s">
        <x:v>33</x:v>
      </x:c>
      <x:c r="B21" s="31" t="s">
        <x:v>31</x:v>
      </x:c>
      <x:c r="C21" s="31" t="s">
        <x:v>26</x:v>
      </x:c>
      <x:c r="D21" s="32">
        <x:v>100</x:v>
      </x:c>
      <x:c r="E21" s="33">
        <x:v>7.59</x:v>
      </x:c>
      <x:c r="F21" s="33">
        <x:v>0.01</x:v>
      </x:c>
      <x:c r="G21" s="31" t="s">
        <x:v>32</x:v>
      </x:c>
      <x:c r="H21" s="34">
        <x:v>5</x:v>
      </x:c>
    </x:row>
    <x:row r="22">
      <x:c r="A22" s="31" t="s">
        <x:v>33</x:v>
      </x:c>
      <x:c r="B22" s="31" t="s">
        <x:v>31</x:v>
      </x:c>
      <x:c r="C22" s="31" t="s">
        <x:v>27</x:v>
      </x:c>
      <x:c r="D22" s="32">
        <x:v>500</x:v>
      </x:c>
      <x:c r="E22" s="33">
        <x:v>6.88</x:v>
      </x:c>
      <x:c r="F22" s="33">
        <x:v>0.02</x:v>
      </x:c>
      <x:c r="G22" s="31" t="s">
        <x:v>32</x:v>
      </x:c>
      <x:c r="H22" s="34">
        <x:v>5</x:v>
      </x:c>
    </x:row>
    <x:row r="23">
      <x:c r="A23" s="31" t="s">
        <x:v>33</x:v>
      </x:c>
      <x:c r="B23" s="31" t="s">
        <x:v>31</x:v>
      </x:c>
      <x:c r="C23" s="31" t="s">
        <x:v>28</x:v>
      </x:c>
      <x:c r="D23" s="32">
        <x:v>1000</x:v>
      </x:c>
      <x:c r="E23" s="33">
        <x:v>7.03</x:v>
      </x:c>
      <x:c r="F23" s="33">
        <x:v>0</x:v>
      </x:c>
      <x:c r="G23" s="31" t="s">
        <x:v>32</x:v>
      </x:c>
      <x:c r="H23" s="34">
        <x:v>5</x:v>
      </x:c>
    </x:row>
    <x:row r="24">
      <x:c r="A24" s="31" t="s">
        <x:v>33</x:v>
      </x:c>
      <x:c r="B24" s="31" t="s">
        <x:v>31</x:v>
      </x:c>
      <x:c r="C24" s="31" t="s">
        <x:v>29</x:v>
      </x:c>
      <x:c r="D24" s="32">
        <x:v>5000</x:v>
      </x:c>
      <x:c r="E24" s="33">
        <x:v>8.67</x:v>
      </x:c>
      <x:c r="F24" s="33">
        <x:v>0.01</x:v>
      </x:c>
      <x:c r="G24" s="31" t="s">
        <x:v>32</x:v>
      </x:c>
      <x:c r="H24" s="34">
        <x:v>5</x:v>
      </x:c>
    </x:row>
    <x:row r="25">
      <x:c r="A25" s="35" t="s">
        <x:v>33</x:v>
      </x:c>
      <x:c r="B25" s="35" t="s">
        <x:v>31</x:v>
      </x:c>
      <x:c r="C25" s="35" t="s">
        <x:v>30</x:v>
      </x:c>
      <x:c r="D25" s="36"/>
      <x:c r="E25" s="37">
        <x:v>16.39</x:v>
      </x:c>
      <x:c r="F25" s="37">
        <x:v>0.01</x:v>
      </x:c>
      <x:c r="G25" s="35" t="s">
        <x:v>32</x:v>
      </x:c>
      <x:c r="H25" s="38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3f15c2966d1442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7" customWidth="1"/>
    <x:col min="2" max="2" width="14" customWidth="1"/>
    <x:col min="3" max="10" width="15" customWidth="1"/>
  </x:cols>
  <x:sheetData>
    <x:row r="1" ht="27" customHeight="1">
      <x:c r="A1" s="2" t="s">
        <x:v>34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3" ht="34">
      <x:c r="A3" s="3" t="s">
        <x:v>16</x:v>
      </x:c>
      <x:c r="B3" s="3" t="s">
        <x:v>17</x:v>
      </x:c>
      <x:c r="C3" s="3" t="s">
        <x:v>35</x:v>
      </x:c>
      <x:c r="D3" s="3" t="s">
        <x:v>36</x:v>
      </x:c>
      <x:c r="E3" s="3" t="s">
        <x:v>37</x:v>
      </x:c>
      <x:c r="F3" s="3" t="s">
        <x:v>38</x:v>
      </x:c>
      <x:c r="G3" s="3" t="s">
        <x:v>39</x:v>
      </x:c>
      <x:c r="H3" s="3" t="s">
        <x:v>40</x:v>
      </x:c>
      <x:c r="I3" s="3" t="s">
        <x:v>41</x:v>
      </x:c>
      <x:c r="J3" s="3" t="s">
        <x:v>42</x:v>
      </x:c>
    </x:row>
    <x:row r="4">
      <x:c r="A4" s="4" t="s">
        <x:v>24</x:v>
      </x:c>
      <x:c r="B4" s="5">
        <x:v>50</x:v>
      </x:c>
      <x:c r="C4" s="6" t="n">
        <x:f>'Grid Corrections'!E2</x:f>
        <x:v>16.54</x:v>
      </x:c>
      <x:c r="D4" s="6" t="n">
        <x:f>'Raw Data'!F2</x:f>
        <x:v>0.93</x:v>
      </x:c>
      <x:c r="E4" s="7" t="n">
        <x:f>'Raw Data'!E8</x:f>
        <x:v>13.49</x:v>
      </x:c>
      <x:c r="F4" s="7">
        <x:v>0.23</x:v>
      </x:c>
      <x:c r="G4" s="6" t="n">
        <x:f>'Raw Data'!E14</x:f>
        <x:v>12.88</x:v>
      </x:c>
      <x:c r="H4" s="6" t="n">
        <x:f>'Raw Data'!F14</x:f>
        <x:v>0.45</x:v>
      </x:c>
      <x:c r="I4" s="7" t="n">
        <x:f>'Raw Data'!E20</x:f>
        <x:v>10.33</x:v>
      </x:c>
      <x:c r="J4" s="7">
        <x:v>0.19</x:v>
      </x:c>
    </x:row>
    <x:row r="5" s="1" customFormat="1">
      <x:c r="A5" s="8" t="s">
        <x:v>26</x:v>
      </x:c>
      <x:c r="B5" s="9">
        <x:v>100</x:v>
      </x:c>
      <x:c r="C5" s="10" t="n">
        <x:f>'Raw Data'!E3</x:f>
        <x:v>20.14</x:v>
      </x:c>
      <x:c r="D5" s="11" t="n">
        <x:f>'Raw Data'!F3</x:f>
        <x:v>1.16</x:v>
      </x:c>
      <x:c r="E5" s="12" t="n">
        <x:f>'Raw Data'!E9</x:f>
        <x:v>10.55</x:v>
      </x:c>
      <x:c r="F5" s="12">
        <x:v>0.18</x:v>
      </x:c>
      <x:c r="G5" s="11" t="n">
        <x:v>13.46</x:v>
      </x:c>
      <x:c r="H5" s="11" t="n">
        <x:f>'Raw Data'!F15</x:f>
        <x:v>0.65</x:v>
      </x:c>
      <x:c r="I5" s="12" t="n">
        <x:f>'Raw Data'!E21</x:f>
        <x:v>7.59</x:v>
      </x:c>
      <x:c r="J5" s="12">
        <x:v>0.21</x:v>
      </x:c>
    </x:row>
    <x:row r="6">
      <x:c r="A6" s="13" t="s">
        <x:v>27</x:v>
      </x:c>
      <x:c r="B6" s="14">
        <x:v>500</x:v>
      </x:c>
      <x:c r="C6" s="15" t="n">
        <x:f>'Grid Corrections'!E3</x:f>
        <x:v>19.7</x:v>
      </x:c>
      <x:c r="D6" s="15" t="n">
        <x:f>'Raw Data'!F4</x:f>
        <x:v>1.08</x:v>
      </x:c>
      <x:c r="E6" s="16" t="n">
        <x:f>'Raw Data'!E10</x:f>
        <x:v>5.99</x:v>
      </x:c>
      <x:c r="F6" s="17">
        <x:v>0.19</x:v>
      </x:c>
      <x:c r="G6" s="16" t="n">
        <x:f>'Raw Data'!E16</x:f>
        <x:v>15.82</x:v>
      </x:c>
      <x:c r="H6" s="15" t="n">
        <x:f>'Raw Data'!F16</x:f>
        <x:v>0.43</x:v>
      </x:c>
      <x:c r="I6" s="16" t="n">
        <x:f>'Raw Data'!E22</x:f>
        <x:v>6.88</x:v>
      </x:c>
      <x:c r="J6" s="17">
        <x:v>0.13</x:v>
      </x:c>
    </x:row>
    <x:row r="7">
      <x:c r="A7" s="13" t="s">
        <x:v>28</x:v>
      </x:c>
      <x:c r="B7" s="14">
        <x:v>1000</x:v>
      </x:c>
      <x:c r="C7" s="15" t="n">
        <x:f>'Grid Corrections'!E4</x:f>
        <x:v>18.24</x:v>
      </x:c>
      <x:c r="D7" s="15" t="n">
        <x:f>'Raw Data'!F5</x:f>
        <x:v>1.02</x:v>
      </x:c>
      <x:c r="E7" s="17" t="n">
        <x:f>'Raw Data'!E11</x:f>
        <x:v>6</x:v>
      </x:c>
      <x:c r="F7" s="17">
        <x:v>0.11</x:v>
      </x:c>
      <x:c r="G7" s="15" t="n">
        <x:f>'Raw Data'!E17</x:f>
        <x:v>12.42</x:v>
      </x:c>
      <x:c r="H7" s="15" t="n">
        <x:f>'Raw Data'!F17</x:f>
        <x:v>0.51</x:v>
      </x:c>
      <x:c r="I7" s="17" t="n">
        <x:f>'Raw Data'!E23</x:f>
        <x:v>7.03</x:v>
      </x:c>
      <x:c r="J7" s="17">
        <x:v>0.18</x:v>
      </x:c>
    </x:row>
    <x:row r="8">
      <x:c r="A8" s="13" t="s">
        <x:v>29</x:v>
      </x:c>
      <x:c r="B8" s="14">
        <x:v>5000</x:v>
      </x:c>
      <x:c r="C8" s="15" t="n">
        <x:f>'Raw Data'!E6</x:f>
        <x:v>13.78</x:v>
      </x:c>
      <x:c r="D8" s="15" t="n">
        <x:f>'Raw Data'!F6</x:f>
        <x:v>0.92</x:v>
      </x:c>
      <x:c r="E8" s="17" t="n">
        <x:f>'Raw Data'!E12</x:f>
        <x:v>6.74</x:v>
      </x:c>
      <x:c r="F8" s="17">
        <x:v>0.14</x:v>
      </x:c>
      <x:c r="G8" s="15" t="n">
        <x:f>'Raw Data'!E18</x:f>
        <x:v>7.82</x:v>
      </x:c>
      <x:c r="H8" s="15" t="n">
        <x:f>'Raw Data'!F18</x:f>
        <x:v>0.55</x:v>
      </x:c>
      <x:c r="I8" s="17" t="n">
        <x:f>'Raw Data'!E24</x:f>
        <x:v>8.67</x:v>
      </x:c>
      <x:c r="J8" s="17">
        <x:v>0.12</x:v>
      </x:c>
    </x:row>
    <x:row r="9" s="1" customFormat="1">
      <x:c r="A9" s="18" t="s">
        <x:v>30</x:v>
      </x:c>
      <x:c r="B9" s="19"/>
      <x:c r="C9" s="20">
        <x:v>2.12</x:v>
      </x:c>
      <x:c r="D9" s="20" t="n">
        <x:f>'Raw Data'!F7</x:f>
        <x:v>0.55</x:v>
      </x:c>
      <x:c r="E9" s="21" t="n">
        <x:f>'Raw Data'!E13</x:f>
        <x:v>7.96</x:v>
      </x:c>
      <x:c r="F9" s="21">
        <x:v>0.12</x:v>
      </x:c>
      <x:c r="G9" s="20" t="n">
        <x:v>2.14</x:v>
      </x:c>
      <x:c r="H9" s="20" t="n">
        <x:f>'Raw Data'!F19</x:f>
        <x:v>0.32</x:v>
      </x:c>
      <x:c r="I9" s="21" t="n">
        <x:f>'Raw Data'!E25</x:f>
        <x:v>16.39</x:v>
      </x:c>
      <x:c r="J9" s="21">
        <x:v>0.09</x:v>
      </x:c>
    </x:row>
    <x:row r="12">
      <x:c r="A12" s="22" t="s">
        <x:v>43</x:v>
      </x:c>
      <x:c r="B12" s="22" t="s">
        <x:v>22</x:v>
      </x:c>
      <x:c r="C12" s="22" t="s">
        <x:v>33</x:v>
      </x:c>
    </x:row>
    <x:row r="13">
      <x:c r="A13" s="23" t="s">
        <x:v>44</x:v>
      </x:c>
      <x:c r="B13" s="24" t="n">
        <x:f>MAX(C4:C9)</x:f>
        <x:v>20.14</x:v>
      </x:c>
      <x:c r="C13" s="24" t="n">
        <x:f>MAX(G4:G9)</x:f>
        <x:v>15.82</x:v>
      </x:c>
    </x:row>
    <x:row r="14">
      <x:c r="A14" s="23" t="s">
        <x:v>45</x:v>
      </x:c>
      <x:c r="B14" s="25" t="str">
        <x:f>INDEX(A4:A9,MATCH(MAX(C4:C9),C4:C9,0))</x:f>
        <x:v>B = 100</x:v>
      </x:c>
      <x:c r="C14" s="25" t="str">
        <x:f>INDEX(A4:A9,MATCH(MAX(G4:G9),G4:G9,0))</x:f>
        <x:v>B = 500</x:v>
      </x:c>
    </x:row>
    <x:row r="15">
      <x:c r="A15" s="23" t="s">
        <x:v>46</x:v>
      </x:c>
      <x:c r="B15" s="24" t="n">
        <x:f>MIN(E4:E9)</x:f>
        <x:v>5.99</x:v>
      </x:c>
      <x:c r="C15" s="24" t="n">
        <x:f>MIN(I4:I9)</x:f>
        <x:v>6.88</x:v>
      </x:c>
    </x:row>
    <x:row r="16">
      <x:c r="A16" s="23" t="s">
        <x:v>47</x:v>
      </x:c>
      <x:c r="B16" s="25" t="str">
        <x:f>INDEX(A4:A9,MATCH(MIN(E4:E9),E4:E9,0))</x:f>
        <x:v>B = 500</x:v>
      </x:c>
      <x:c r="C16" s="25" t="str">
        <x:f>INDEX(A4:A9,MATCH(MIN(I4:I9),I4:I9,0))</x:f>
        <x:v>B = 500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56" hidden="0" customWidth="1"/>
    <x:col min="4" max="4" width="20" hidden="0" customWidth="1"/>
    <x:col min="5" max="5" width="20" hidden="0" customWidth="1"/>
    <x:col min="6" max="6" width="42" hidden="0" customWidth="1"/>
  </x:cols>
  <x:sheetData>
    <x:row r="1" ht="26" customHeight="1">
      <x:c r="A1" s="45" t="str">
        <x:v>Date</x:v>
      </x:c>
      <x:c r="B1" s="45" t="str">
        <x:v>Location</x:v>
      </x:c>
      <x:c r="C1" s="45" t="str">
        <x:v>Description</x:v>
      </x:c>
      <x:c r="D1" s="45" t="str">
        <x:v>Before</x:v>
      </x:c>
      <x:c r="E1" s="45" t="str">
        <x:v>After</x:v>
      </x:c>
      <x:c r="F1" s="45" t="str">
        <x:v>Basis</x:v>
      </x:c>
    </x:row>
    <x:row r="2" ht="36" customHeight="1">
      <x:c r="A2" s="46" t="str">
        <x:v>2026-09-02</x:v>
      </x:c>
      <x:c r="B2" s="46" t="str">
        <x:v>Paper Table!G5</x:v>
      </x:c>
      <x:c r="C2" s="46" t="str">
        <x:v>Gemma-4-E4B: DCI B=100 mean</x:v>
      </x:c>
      <x:c r="D2" s="47" t="n">
        <x:v>13.47</x:v>
      </x:c>
      <x:c r="E2" s="47" t="n">
        <x:v>13.46</x:v>
      </x:c>
      <x:c r="F2" s="46" t="str">
        <x:v>User-confirmed mean / derived gain</x:v>
      </x:c>
    </x:row>
    <x:row r="3" ht="36" customHeight="1">
      <x:c r="A3" s="46" t="str">
        <x:v>2026-09-02</x:v>
      </x:c>
      <x:c r="B3" s="46" t="str">
        <x:v>Paper Table!G9</x:v>
      </x:c>
      <x:c r="C3" s="46" t="str">
        <x:v>Gemma-4-E4B: Flat mean</x:v>
      </x:c>
      <x:c r="D3" s="47" t="n">
        <x:v>2.13</x:v>
      </x:c>
      <x:c r="E3" s="47" t="n">
        <x:v>2.14</x:v>
      </x:c>
      <x:c r="F3" s="46" t="str">
        <x:v>User-confirmed mean / derived gain</x:v>
      </x:c>
    </x:row>
    <x:row r="4" ht="103" customHeight="1">
      <x:c r="A4" s="46" t="str">
        <x:v>2026-09-02</x:v>
      </x:c>
      <x:c r="B4" s="46" t="str">
        <x:v>README!B9</x:v>
      </x:c>
      <x:c r="C4" s="46" t="str">
        <x:v>Historical source vs current paper data</x:v>
      </x:c>
      <x:c r="D4" s="47" t="str">
        <x:v>Raw Data is machine-readable; Paper Table is formula-linked for checking.</x:v>
      </x:c>
      <x:c r="E4" s="47" t="str">
        <x:v>Raw Data preserves the historical source. Paper Table is the current figure authority, with user-confirmed mean corrections recorded in Confirmation Log.</x:v>
      </x:c>
      <x:c r="F4" s="46" t="str">
        <x:v>Metadata update</x:v>
      </x:c>
    </x:row>
    <x:row r="5" ht="36" customHeight="1">
      <x:c r="A5" s="46"/>
      <x:c r="B5" s="46"/>
      <x:c r="C5" s="46"/>
      <x:c r="D5" s="46"/>
      <x:c r="E5" s="46"/>
      <x:c r="F5" s="46"/>
    </x:row>
    <x:row r="6" ht="36" customHeight="1">
      <x:c r="A6" s="46" t="str">
        <x:v>Scope</x:v>
      </x:c>
      <x:c r="B6" s="46" t="str">
        <x:v>ImageNet-21K; Table 2 and reused points</x:v>
      </x:c>
      <x:c r="C6" s="46" t="str">
        <x:v>Mean corrections confirmed by user; no per-run recomputation.</x:v>
      </x:c>
      <x:c r="D6" s="46" t="str">
        <x:v>SD unchanged</x:v>
      </x:c>
      <x:c r="E6" s="46" t="str">
        <x:v>Latency/cost unchanged</x:v>
      </x:c>
      <x:c r="F6" s="46" t="str">
        <x:v>Historical Raw Data retained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51" hidden="0" customWidth="1"/>
    <x:col min="4" max="4" width="13" hidden="0" customWidth="1"/>
    <x:col min="5" max="5" width="13" hidden="0" customWidth="1"/>
    <x:col min="6" max="6" width="12" hidden="0" customWidth="1"/>
    <x:col min="7" max="7" width="59" hidden="0" customWidth="1"/>
    <x:col min="8" max="8" width="27" hidden="0" customWidth="1"/>
  </x:cols>
  <x:sheetData>
    <x:row r="1" ht="28" customHeight="1">
      <x:c r="A1" s="49" t="str">
        <x:v>Date</x:v>
      </x:c>
      <x:c r="B1" s="49" t="str">
        <x:v>Location</x:v>
      </x:c>
      <x:c r="C1" s="49" t="str">
        <x:v>Experimental setting</x:v>
      </x:c>
      <x:c r="D1" s="49" t="str">
        <x:v>Before (%)</x:v>
      </x:c>
      <x:c r="E1" s="49" t="str">
        <x:v>After (%)</x:v>
      </x:c>
      <x:c r="F1" s="49" t="str">
        <x:v>Step (pp)</x:v>
      </x:c>
      <x:c r="G1" s="49" t="str">
        <x:v>Basis</x:v>
      </x:c>
      <x:c r="H1" s="49" t="str">
        <x:v>Previous formula / input</x:v>
      </x:c>
    </x:row>
    <x:row r="2" ht="66" customHeight="1">
      <x:c r="A2" s="46" t="str">
        <x:v>2026-09-03</x:v>
      </x:c>
      <x:c r="B2" s="46" t="str">
        <x:v>Paper Table!C4</x:v>
      </x:c>
      <x:c r="C2" s="46" t="str">
        <x:v>Qwen3-VL-2B-Instruct; ImageNet-21K; B=50; 1000 images x 5 runs</x:v>
      </x:c>
      <x:c r="D2" s="47" t="n">
        <x:v>16.55</x:v>
      </x:c>
      <x:c r="E2" s="47" t="n">
        <x:v>16.54</x:v>
      </x:c>
      <x:c r="F2" s="47" t="n">
        <x:v>0.02</x:v>
      </x:c>
      <x:c r="G2" s="46" t="str">
        <x:v>Author-requested nearest-grid entry correction; midpoint rounded down following prior author choices. No per-run recomputation.</x:v>
      </x:c>
      <x:c r="H2" s="46" t="str">
        <x:v>='Raw Data'!E2</x:v>
      </x:c>
    </x:row>
    <x:row r="3" ht="66" customHeight="1">
      <x:c r="A3" s="46" t="str">
        <x:v>2026-09-03</x:v>
      </x:c>
      <x:c r="B3" s="46" t="str">
        <x:v>Paper Table!C6</x:v>
      </x:c>
      <x:c r="C3" s="46" t="str">
        <x:v>Qwen3-VL-2B-Instruct; ImageNet-21K; B=500; 1000 images x 5 runs</x:v>
      </x:c>
      <x:c r="D3" s="47" t="n">
        <x:v>19.71</x:v>
      </x:c>
      <x:c r="E3" s="47" t="n">
        <x:v>19.7</x:v>
      </x:c>
      <x:c r="F3" s="47" t="n">
        <x:v>0.02</x:v>
      </x:c>
      <x:c r="G3" s="46" t="str">
        <x:v>Author-requested nearest-grid entry correction; midpoint rounded down following prior author choices. No per-run recomputation.</x:v>
      </x:c>
      <x:c r="H3" s="46" t="str">
        <x:v>='Raw Data'!E4</x:v>
      </x:c>
    </x:row>
    <x:row r="4" ht="66" customHeight="1">
      <x:c r="A4" s="46" t="str">
        <x:v>2026-09-03</x:v>
      </x:c>
      <x:c r="B4" s="46" t="str">
        <x:v>Paper Table!C7</x:v>
      </x:c>
      <x:c r="C4" s="46" t="str">
        <x:v>Qwen3-VL-2B-Instruct; ImageNet-21K; B=1000; 1000 images x 5 runs</x:v>
      </x:c>
      <x:c r="D4" s="47" t="n">
        <x:v>18.25</x:v>
      </x:c>
      <x:c r="E4" s="47" t="n">
        <x:v>18.24</x:v>
      </x:c>
      <x:c r="F4" s="47" t="n">
        <x:v>0.02</x:v>
      </x:c>
      <x:c r="G4" s="46" t="str">
        <x:v>Author-requested nearest-grid entry correction; midpoint rounded down following prior author choices. No per-run recomputation.</x:v>
      </x:c>
      <x:c r="H4" s="46" t="str">
        <x:v>='Raw Data'!E5</x:v>
      </x:c>
    </x:row>
    <x:row r="5" ht="66" customHeight="1">
      <x:c r="A5" s="46"/>
      <x:c r="B5" s="46"/>
      <x:c r="C5" s="46"/>
      <x:c r="D5" s="46"/>
      <x:c r="E5" s="46"/>
      <x:c r="F5" s="46"/>
      <x:c r="G5" s="46"/>
      <x:c r="H5" s="46"/>
    </x:row>
    <x:row r="6" ht="66" customHeight="1">
      <x:c r="A6" s="46" t="str">
        <x:v>Scope</x:v>
      </x:c>
      <x:c r="B6" s="46" t="str">
        <x:v>Entry / derived-value corrections</x:v>
      </x:c>
      <x:c r="C6" s="46" t="str">
        <x:v>SD, latency, costs, and historical Raw Data unchanged.</x:v>
      </x:c>
      <x:c r="D6" s="46"/>
      <x:c r="E6" s="46"/>
      <x:c r="F6" s="46"/>
      <x:c r="G6" s="46" t="str">
        <x:v>Original files backed up; no original five-run counts were available. Midpoint rule is a processing convention, not new experimental verification.</x:v>
      </x:c>
      <x:c r="H6" s="46" t="str">
        <x:v>Previous N10 Corrections and Confirmation Log sheets preserved.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5" hidden="0" customWidth="1"/>
    <x:col min="3" max="3" width="17" hidden="0" customWidth="1"/>
    <x:col min="4" max="4" width="25" hidden="0" customWidth="1"/>
    <x:col min="5" max="5" width="17" hidden="0" customWidth="1"/>
    <x:col min="6" max="6" width="48" hidden="0" customWidth="1"/>
  </x:cols>
  <x:sheetData>
    <x:row r="1" ht="30" customHeight="1">
      <x:c r="A1" s="51" t="str">
        <x:v>SD reporting authority — author confirmed 2026-09-03</x:v>
      </x:c>
      <x:c r="B1" s="51"/>
      <x:c r="C1" s="51"/>
      <x:c r="D1" s="51"/>
      <x:c r="E1" s="51"/>
      <x:c r="F1" s="51"/>
    </x:row>
    <x:row r="2" ht="25" customHeight="1">
      <x:c r="A2" s="46" t="str">
        <x:v>Use the SD values already reported in the manuscript (Paper Table). Historical source entries are retained for provenance. This confirms the reporting version; SDs are not recomputed or converted.</x:v>
      </x:c>
      <x:c r="B2" s="46"/>
      <x:c r="C2" s="46"/>
      <x:c r="D2" s="46"/>
      <x:c r="E2" s="46"/>
      <x:c r="F2" s="46"/>
    </x:row>
    <x:row r="3" ht="25" customHeight="1">
      <x:c r="A3" s="46"/>
      <x:c r="B3" s="46"/>
      <x:c r="C3" s="46"/>
      <x:c r="D3" s="46"/>
      <x:c r="E3" s="46"/>
      <x:c r="F3" s="46"/>
    </x:row>
    <x:row r="4" ht="36" customHeight="1">
      <x:c r="A4" s="54" t="str">
        <x:v>Setting / scope</x:v>
      </x:c>
      <x:c r="B4" s="54" t="str">
        <x:v>Historical cell</x:v>
      </x:c>
      <x:c r="C4" s="54" t="str">
        <x:v>Historical SD</x:v>
      </x:c>
      <x:c r="D4" s="54" t="str">
        <x:v>Current authority cell</x:v>
      </x:c>
      <x:c r="E4" s="54" t="str">
        <x:v>Selected SD</x:v>
      </x:c>
      <x:c r="F4" s="54" t="str">
        <x:v>Status / provenance</x:v>
      </x:c>
    </x:row>
    <x:row r="5" ht="44" customHeight="1">
      <x:c r="A5" s="46" t="str">
        <x:v>Qwen3-VL-2B latency B=50</x:v>
      </x:c>
      <x:c r="B5" s="46" t="str">
        <x:v>Raw Data!F8</x:v>
      </x:c>
      <x:c r="C5" s="47" t="n">
        <x:v>0.01</x:v>
      </x:c>
      <x:c r="D5" s="46" t="str">
        <x:v>Paper Table!F4</x:v>
      </x:c>
      <x:c r="E5" s="47" t="n">
        <x:f>'Paper Table'!F4</x:f>
        <x:v>0.23</x:v>
      </x:c>
      <x:c r="F5" s="46" t="str">
        <x:v>Historical value preserved; manuscript SD selected.</x:v>
      </x:c>
    </x:row>
    <x:row r="6" ht="44" customHeight="1">
      <x:c r="A6" s="46" t="str">
        <x:v>Qwen3-VL-2B latency B=100</x:v>
      </x:c>
      <x:c r="B6" s="46" t="str">
        <x:v>Raw Data!F9</x:v>
      </x:c>
      <x:c r="C6" s="47" t="n">
        <x:v>0.02</x:v>
      </x:c>
      <x:c r="D6" s="46" t="str">
        <x:v>Paper Table!F5</x:v>
      </x:c>
      <x:c r="E6" s="47" t="n">
        <x:f>'Paper Table'!F5</x:f>
        <x:v>0.18</x:v>
      </x:c>
      <x:c r="F6" s="46" t="str">
        <x:v>Historical value preserved; manuscript SD selected.</x:v>
      </x:c>
    </x:row>
    <x:row r="7" ht="44" customHeight="1">
      <x:c r="A7" s="46" t="str">
        <x:v>Qwen3-VL-2B latency B=500</x:v>
      </x:c>
      <x:c r="B7" s="46" t="str">
        <x:v>Raw Data!F10</x:v>
      </x:c>
      <x:c r="C7" s="47" t="n">
        <x:v>0.01</x:v>
      </x:c>
      <x:c r="D7" s="46" t="str">
        <x:v>Paper Table!F6</x:v>
      </x:c>
      <x:c r="E7" s="47" t="n">
        <x:f>'Paper Table'!F6</x:f>
        <x:v>0.19</x:v>
      </x:c>
      <x:c r="F7" s="46" t="str">
        <x:v>Historical value preserved; manuscript SD selected.</x:v>
      </x:c>
    </x:row>
    <x:row r="8" ht="44" customHeight="1">
      <x:c r="A8" s="46" t="str">
        <x:v>Qwen3-VL-2B latency B=1000</x:v>
      </x:c>
      <x:c r="B8" s="46" t="str">
        <x:v>Raw Data!F11</x:v>
      </x:c>
      <x:c r="C8" s="47" t="n">
        <x:v>0.01</x:v>
      </x:c>
      <x:c r="D8" s="46" t="str">
        <x:v>Paper Table!F7</x:v>
      </x:c>
      <x:c r="E8" s="47" t="n">
        <x:f>'Paper Table'!F7</x:f>
        <x:v>0.11</x:v>
      </x:c>
      <x:c r="F8" s="46" t="str">
        <x:v>Historical value preserved; manuscript SD selected.</x:v>
      </x:c>
    </x:row>
    <x:row r="9" ht="44" customHeight="1">
      <x:c r="A9" s="46" t="str">
        <x:v>Qwen3-VL-2B latency B=5000</x:v>
      </x:c>
      <x:c r="B9" s="46" t="str">
        <x:v>Raw Data!F12</x:v>
      </x:c>
      <x:c r="C9" s="47" t="n">
        <x:v>0.01</x:v>
      </x:c>
      <x:c r="D9" s="46" t="str">
        <x:v>Paper Table!F8</x:v>
      </x:c>
      <x:c r="E9" s="47" t="n">
        <x:f>'Paper Table'!F8</x:f>
        <x:v>0.14</x:v>
      </x:c>
      <x:c r="F9" s="46" t="str">
        <x:v>Historical value preserved; manuscript SD selected.</x:v>
      </x:c>
    </x:row>
    <x:row r="10" ht="44" customHeight="1">
      <x:c r="A10" s="46" t="str">
        <x:v>Qwen3-VL-2B latency B=null</x:v>
      </x:c>
      <x:c r="B10" s="46" t="str">
        <x:v>Raw Data!F13</x:v>
      </x:c>
      <x:c r="C10" s="47" t="n">
        <x:v>0.02</x:v>
      </x:c>
      <x:c r="D10" s="46" t="str">
        <x:v>Paper Table!F9</x:v>
      </x:c>
      <x:c r="E10" s="47" t="n">
        <x:f>'Paper Table'!F9</x:f>
        <x:v>0.12</x:v>
      </x:c>
      <x:c r="F10" s="46" t="str">
        <x:v>Historical value preserved; manuscript SD selected.</x:v>
      </x:c>
    </x:row>
    <x:row r="11" ht="44" customHeight="1">
      <x:c r="A11" s="46" t="str">
        <x:v>Gemma4-E4B latency B=50</x:v>
      </x:c>
      <x:c r="B11" s="46" t="str">
        <x:v>Raw Data!F20</x:v>
      </x:c>
      <x:c r="C11" s="47" t="n">
        <x:v>0.01</x:v>
      </x:c>
      <x:c r="D11" s="46" t="str">
        <x:v>Paper Table!J4</x:v>
      </x:c>
      <x:c r="E11" s="47" t="n">
        <x:f>'Paper Table'!J4</x:f>
        <x:v>0.19</x:v>
      </x:c>
      <x:c r="F11" s="46" t="str">
        <x:v>Historical value preserved; manuscript SD selected.</x:v>
      </x:c>
    </x:row>
    <x:row r="12" ht="44" customHeight="1">
      <x:c r="A12" s="46" t="str">
        <x:v>Gemma4-E4B latency B=100</x:v>
      </x:c>
      <x:c r="B12" s="46" t="str">
        <x:v>Raw Data!F21</x:v>
      </x:c>
      <x:c r="C12" s="47" t="n">
        <x:v>0.01</x:v>
      </x:c>
      <x:c r="D12" s="46" t="str">
        <x:v>Paper Table!J5</x:v>
      </x:c>
      <x:c r="E12" s="47" t="n">
        <x:f>'Paper Table'!J5</x:f>
        <x:v>0.21</x:v>
      </x:c>
      <x:c r="F12" s="46" t="str">
        <x:v>Historical value preserved; manuscript SD selected.</x:v>
      </x:c>
    </x:row>
    <x:row r="13" ht="44" customHeight="1">
      <x:c r="A13" s="46" t="str">
        <x:v>Gemma4-E4B latency B=500</x:v>
      </x:c>
      <x:c r="B13" s="46" t="str">
        <x:v>Raw Data!F22</x:v>
      </x:c>
      <x:c r="C13" s="47" t="n">
        <x:v>0.02</x:v>
      </x:c>
      <x:c r="D13" s="46" t="str">
        <x:v>Paper Table!J6</x:v>
      </x:c>
      <x:c r="E13" s="47" t="n">
        <x:f>'Paper Table'!J6</x:f>
        <x:v>0.13</x:v>
      </x:c>
      <x:c r="F13" s="46" t="str">
        <x:v>Historical value preserved; manuscript SD selected.</x:v>
      </x:c>
    </x:row>
    <x:row r="14" ht="44" customHeight="1">
      <x:c r="A14" s="46" t="str">
        <x:v>Gemma4-E4B latency B=1000</x:v>
      </x:c>
      <x:c r="B14" s="46" t="str">
        <x:v>Raw Data!F23</x:v>
      </x:c>
      <x:c r="C14" s="47" t="n">
        <x:v>0</x:v>
      </x:c>
      <x:c r="D14" s="46" t="str">
        <x:v>Paper Table!J7</x:v>
      </x:c>
      <x:c r="E14" s="47" t="n">
        <x:f>'Paper Table'!J7</x:f>
        <x:v>0.18</x:v>
      </x:c>
      <x:c r="F14" s="46" t="str">
        <x:v>Historical value preserved; manuscript SD selected.</x:v>
      </x:c>
    </x:row>
    <x:row r="15" ht="44" customHeight="1">
      <x:c r="A15" s="46" t="str">
        <x:v>Gemma4-E4B latency B=5000</x:v>
      </x:c>
      <x:c r="B15" s="46" t="str">
        <x:v>Raw Data!F24</x:v>
      </x:c>
      <x:c r="C15" s="47" t="n">
        <x:v>0.01</x:v>
      </x:c>
      <x:c r="D15" s="46" t="str">
        <x:v>Paper Table!J8</x:v>
      </x:c>
      <x:c r="E15" s="47" t="n">
        <x:f>'Paper Table'!J8</x:f>
        <x:v>0.12</x:v>
      </x:c>
      <x:c r="F15" s="46" t="str">
        <x:v>Historical value preserved; manuscript SD selected.</x:v>
      </x:c>
    </x:row>
    <x:row r="16" ht="44" customHeight="1">
      <x:c r="A16" s="46" t="str">
        <x:v>Gemma4-E4B latency B=null</x:v>
      </x:c>
      <x:c r="B16" s="46" t="str">
        <x:v>Raw Data!F25</x:v>
      </x:c>
      <x:c r="C16" s="47" t="n">
        <x:v>0.01</x:v>
      </x:c>
      <x:c r="D16" s="46" t="str">
        <x:v>Paper Table!J9</x:v>
      </x:c>
      <x:c r="E16" s="47" t="n">
        <x:f>'Paper Table'!J9</x:f>
        <x:v>0.09</x:v>
      </x:c>
      <x:c r="F16" s="46" t="str">
        <x:v>Historical value preserved; manuscript SD selected.</x:v>
      </x:c>
    </x:row>
  </x:sheetData>
  <x:mergeCells>
    <x:mergeCell ref="A1:F1"/>
    <x:mergeCell ref="A2:F3"/>
  </x:mergeCells>
  <x:pageMargins left="0.7" right="0.7" top="0.75" bottom="0.75" header="0.3" footer="0.3"/>
</x:worksheet>
</file>