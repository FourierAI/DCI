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ddd554f9d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e format" sheetId="1" r:id="Rc911c72bb97b4f7b"/>
    <x:sheet xmlns:r="http://schemas.openxmlformats.org/officeDocument/2006/relationships" name="Long format" sheetId="2" r:id="R59a8692b30fb4360"/>
    <x:sheet xmlns:r="http://schemas.openxmlformats.org/officeDocument/2006/relationships" name="README" sheetId="3" r:id="Re9c7813ded664018"/>
    <x:sheet xmlns:r="http://schemas.openxmlformats.org/officeDocument/2006/relationships" name="Source map" sheetId="4" r:id="R452f8a145a1349e0"/>
    <x:sheet xmlns:r="http://schemas.openxmlformats.org/officeDocument/2006/relationships" name="N10 Corrections" sheetId="5" r:id="R293b23c854a44f67"/>
    <x:sheet xmlns:r="http://schemas.openxmlformats.org/officeDocument/2006/relationships" name="Grid Corrections" sheetId="6" r:id="R2d54ae3a460a48a7"/>
    <x:sheet xmlns:r="http://schemas.openxmlformats.org/officeDocument/2006/relationships" name="SD Authority" sheetId="7" r:id="R94e4fa7d9bb54b5f"/>
    <x:sheet xmlns:r="http://schemas.openxmlformats.org/officeDocument/2006/relationships" name="Current Long" sheetId="8" r:id="Rbb850769114346e5"/>
  </x:sheets>
</x:workbook>
</file>

<file path=xl/sharedStrings.xml><?xml version="1.0" encoding="utf-8"?>
<x:sst xmlns:x="http://schemas.openxmlformats.org/spreadsheetml/2006/main">
  <x:si>
    <x:t xml:space="preserve">Model</x:t>
  </x:si>
  <x:si>
    <x:t xml:space="preserve">N=10 Mean</x:t>
  </x:si>
  <x:si>
    <x:t xml:space="preserve">N=10 SD</x:t>
  </x:si>
  <x:si>
    <x:t xml:space="preserve">N=20 Mean</x:t>
  </x:si>
  <x:si>
    <x:t xml:space="preserve">N=20 SD</x:t>
  </x:si>
  <x:si>
    <x:t xml:space="preserve">N=100 Mean</x:t>
  </x:si>
  <x:si>
    <x:t xml:space="preserve">N=100 SD</x:t>
  </x:si>
  <x:si>
    <x:t xml:space="preserve">N=200 Mean</x:t>
  </x:si>
  <x:si>
    <x:t xml:space="preserve">N=200 SD</x:t>
  </x:si>
  <x:si>
    <x:t xml:space="preserve">N=500 Mean</x:t>
  </x:si>
  <x:si>
    <x:t xml:space="preserve">N=500 SD</x:t>
  </x:si>
  <x:si>
    <x:t xml:space="preserve">N=1000 Mean</x:t>
  </x:si>
  <x:si>
    <x:t xml:space="preserve">N=1000 SD</x:t>
  </x:si>
  <x:si>
    <x:t xml:space="preserve">LLaMA3.2-11B-Vision</x:t>
  </x:si>
  <x:si>
    <x:t xml:space="preserve">Gemma3-4B</x:t>
  </x:si>
  <x:si>
    <x:t xml:space="preserve">Gemma4-E4B</x:t>
  </x:si>
  <x:si>
    <x:t xml:space="preserve">DeepSeek-VL-7B</x:t>
  </x:si>
  <x:si>
    <x:t xml:space="preserve">Kimi-VL-A3B</x:t>
  </x:si>
  <x:si>
    <x:t xml:space="preserve">Qwen2.5-VL-7B</x:t>
  </x:si>
  <x:si>
    <x:t xml:space="preserve">Qwen2.5-VL-32B</x:t>
  </x:si>
  <x:si>
    <x:t xml:space="preserve">Qwen2.5-VL-MAX</x:t>
  </x:si>
  <x:si>
    <x:t xml:space="preserve">Qwen3-VL-2B</x:t>
  </x:si>
  <x:si>
    <x:t xml:space="preserve">Qwen3-VL-8B</x:t>
  </x:si>
  <x:si>
    <x:t xml:space="preserve">Candidate Classes (N)</x:t>
  </x:si>
  <x:si>
    <x:t xml:space="preserve">Mean Top-1 Accuracy (%)</x:t>
  </x:si>
  <x:si>
    <x:t xml:space="preserve">SD (%)</x:t>
  </x:si>
  <x:si>
    <x:t xml:space="preserve">Dataset</x:t>
  </x:si>
  <x:si>
    <x:t xml:space="preserve">Scaling performance figure data</x:t>
  </x:si>
  <x:si>
    <x:t xml:space="preserve">Source script</x:t>
  </x:si>
  <x:si>
    <x:t xml:space="preserve">Metric</x:t>
  </x:si>
  <x:si>
    <x:t xml:space="preserve">Top-1 Accuracy (%)</x:t>
  </x:si>
  <x:si>
    <x:t xml:space="preserve">Candidate classes</x:t>
  </x:si>
  <x:si>
    <x:t xml:space="preserve">10, 20, 100, 200, 500, 1000</x:t>
  </x:si>
  <x:si>
    <x:t xml:space="preserve">Column layout</x:t>
  </x:si>
  <x:si>
    <x:t xml:space="preserve">Each Mean column is immediately followed by its corresponding SD column.</x:t>
  </x:si>
  <x:si>
    <x:t xml:space="preserve">Primary SD source</x:t>
  </x:si>
  <x:si>
    <x:t xml:space="preserve">Cross-checks</x:t>
  </x:si>
  <x:si>
    <x:t xml:space="preserve">主图.xlsx, gs_消融.xlsx, tts对比.xlsx, and 分组策略.xlsx were used to verify overlapping ImageNet-1K values.</x:t>
  </x:si>
  <x:si>
    <x:t xml:space="preserve">Mean corrections</x:t>
  </x:si>
  <x:si>
    <x:t xml:space="preserve">Precedence</x:t>
  </x:si>
  <x:si>
    <x:t xml:space="preserve">Sheets</x:t>
  </x:si>
  <x:si>
    <x:t xml:space="preserve">Reference workbook</x:t>
  </x:si>
  <x:si>
    <x:t xml:space="preserve">Worksheet</x:t>
  </x:si>
  <x:si>
    <x:t xml:space="preserve">Used for</x:t>
  </x:si>
  <x:si>
    <x:t xml:space="preserve">Models / points</x:t>
  </x:si>
  <x:si>
    <x:t xml:space="preserve">Decision</x:t>
  </x:si>
  <x:si>
    <x:t xml:space="preserve">dci抑制下降.xlsx</x:t>
  </x:si>
  <x:si>
    <x:t xml:space="preserve">Data_Input</x:t>
  </x:si>
  <x:si>
    <x:t xml:space="preserve">Primary baseline mean and SD</x:t>
  </x:si>
  <x:si>
    <x:t xml:space="preserve">Gemma4-E4B, DeepSeek-VL-7B, Kimi-VL-A3B, Qwen2.5-VL-7B, Qwen3-VL-2B, Qwen3-VL-8B; all N</x:t>
  </x:si>
  <x:si>
    <x:t xml:space="preserve">Adopted</x:t>
  </x:si>
  <x:si>
    <x:t xml:space="preserve">主图.xlsx</x:t>
  </x:si>
  <x:si>
    <x:t xml:space="preserve">Figure Data</x:t>
  </x:si>
  <x:si>
    <x:t xml:space="preserve">ImageNet-1K N=1000 cross-check</x:t>
  </x:si>
  <x:si>
    <x:t xml:space="preserve">Qwen2.5-VL-7B, Qwen3-VL-2B, Qwen3-VL-8B, Kimi-VL-A3B</x:t>
  </x:si>
  <x:si>
    <x:t xml:space="preserve">Matched selected values</x:t>
  </x:si>
  <x:si>
    <x:t xml:space="preserve">gs_消融.xlsx</x:t>
  </x:si>
  <x:si>
    <x:t xml:space="preserve">ImageNet-1K baseline cross-check</x:t>
  </x:si>
  <x:si>
    <x:t xml:space="preserve">Qwen3-VL-8B at N=1000</x:t>
  </x:si>
  <x:si>
    <x:t xml:space="preserve">Mean 67.56 and SD 0.38 matched</x:t>
  </x:si>
  <x:si>
    <x:t xml:space="preserve">tts对比.xlsx</x:t>
  </x:si>
  <x:si>
    <x:t xml:space="preserve">分组策略.xlsx</x:t>
  </x:si>
  <x:si>
    <x:t xml:space="preserve">Table 1</x:t>
  </x:si>
  <x:si>
    <x:t xml:space="preserve">DCI/random grouping cross-check</x:t>
  </x:si>
  <x:si>
    <x:t xml:space="preserve">Qwen2.5-VL-7B DCI at N=1000</x:t>
  </x:si>
  <x:si>
    <x:t xml:space="preserve">71.57 ± 0.68; not used for baseline row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</x:si>
</x:sst>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</x:numFmts>
  <x:fonts count="2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top style="thin">
        <x:color rgb="FFD9E2F3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6" borderId="5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6" applyNumberFormat="0" applyFill="0" applyAlignment="0" applyProtection="0">
      <x:alignment vertical="center"/>
    </x:xf>
    <x:xf numFmtId="0" fontId="10" fillId="0" borderId="6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7" borderId="8" applyNumberFormat="0" applyAlignment="0" applyProtection="0">
      <x:alignment vertical="center"/>
    </x:xf>
    <x:xf numFmtId="0" fontId="13" fillId="8" borderId="9" applyNumberFormat="0" applyAlignment="0" applyProtection="0">
      <x:alignment vertical="center"/>
    </x:xf>
    <x:xf numFmtId="0" fontId="14" fillId="8" borderId="8" applyNumberFormat="0" applyAlignment="0" applyProtection="0">
      <x:alignment vertical="center"/>
    </x:xf>
    <x:xf numFmtId="0" fontId="15" fillId="9" borderId="10" applyNumberFormat="0" applyAlignment="0" applyProtection="0">
      <x:alignment vertical="center"/>
    </x:xf>
    <x:xf numFmtId="0" fontId="16" fillId="0" borderId="11" applyNumberFormat="0" applyFill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21" fillId="36" borderId="0" applyNumberFormat="0" applyBorder="0" applyAlignment="0" applyProtection="0">
      <x:alignment vertical="center"/>
    </x:xf>
    <x:xf numFmtId="0" fontId="0" fillId="0" borderId="0"/>
  </x:cellStyleXfs>
  <x:cellXfs count="37">
    <x:xf numFmtId="0" fontId="0" fillId="0" borderId="0" xfId="49"/>
    <x:xf numFmtId="0" fontId="1" fillId="2" borderId="1" xfId="49" applyNumberFormat="1" applyFont="1" applyFill="1" applyBorder="1" applyAlignment="1">
      <x:alignment horizontal="center"/>
    </x:xf>
    <x:xf numFmtId="0" fontId="0" fillId="0" borderId="2" xfId="49" applyNumberFormat="1" applyFont="1" applyFill="1" applyBorder="1" applyAlignment="1">
      <x:alignment vertical="top" wrapText="1"/>
    </x:xf>
    <x:xf numFmtId="0" fontId="0" fillId="0" borderId="3" xfId="49" applyNumberFormat="1" applyFont="1" applyFill="1" applyBorder="1" applyAlignment="1">
      <x:alignment vertical="top" wrapText="1"/>
    </x:xf>
    <x:xf numFmtId="0" fontId="2" fillId="3" borderId="1" xfId="49" applyNumberFormat="1" applyFont="1" applyFill="1" applyBorder="1"/>
    <x:xf numFmtId="0" fontId="0" fillId="0" borderId="1" xfId="49" applyNumberFormat="1" applyFont="1" applyFill="1" applyBorder="1" applyAlignment="1">
      <x:alignment wrapText="1"/>
    </x:xf>
    <x:xf numFmtId="0" fontId="2" fillId="3" borderId="2" xfId="49" applyNumberFormat="1" applyFont="1" applyFill="1" applyBorder="1"/>
    <x:xf numFmtId="0" fontId="0" fillId="0" borderId="2" xfId="49" applyNumberFormat="1" applyFont="1" applyFill="1" applyBorder="1" applyAlignment="1">
      <x:alignment wrapText="1"/>
    </x:xf>
    <x:xf numFmtId="0" fontId="2" fillId="3" borderId="4" xfId="49" applyNumberFormat="1" applyFont="1" applyFill="1" applyBorder="1"/>
    <x:xf numFmtId="0" fontId="0" fillId="0" borderId="4" xfId="49" applyNumberFormat="1" applyFont="1" applyFill="1" applyBorder="1" applyAlignment="1">
      <x:alignment wrapText="1"/>
    </x:xf>
    <x:xf numFmtId="0" fontId="1" fillId="2" borderId="0" xfId="49" applyNumberFormat="1" applyFont="1" applyFill="1" applyBorder="1" applyAlignment="1">
      <x:alignment horizontal="center"/>
    </x:xf>
    <x:xf numFmtId="0" fontId="0" fillId="0" borderId="0" xfId="49" applyNumberFormat="1" applyFont="1" applyFill="1" applyBorder="1" applyAlignment="1">
      <x:alignment horizontal="left"/>
    </x:xf>
    <x:xf numFmtId="1" fontId="0" fillId="0" borderId="0" xfId="49" applyNumberFormat="1" applyFont="1" applyFill="1" applyBorder="1" applyAlignment="1">
      <x:alignment horizontal="right"/>
    </x:xf>
    <x:xf numFmtId="2" fontId="0" fillId="0" borderId="0" xfId="49" applyNumberFormat="1" applyFont="1" applyFill="1" applyBorder="1" applyAlignment="1">
      <x:alignment horizontal="right"/>
    </x:xf>
    <x:xf numFmtId="2" fontId="0" fillId="4" borderId="0" xfId="49" applyNumberFormat="1" applyFont="1" applyFill="1" applyBorder="1" applyAlignment="1">
      <x:alignment horizontal="right"/>
    </x:xf>
    <x:xf numFmtId="2" fontId="0" fillId="5" borderId="0" xfId="49" applyNumberFormat="1" applyFont="1" applyFill="1" applyBorder="1" applyAlignment="1">
      <x:alignment horizontal="right"/>
    </x:xf>
    <x:xf numFmtId="0" fontId="2" fillId="0" borderId="2" xfId="49" applyNumberFormat="1" applyFont="1" applyFill="1" applyBorder="1" applyAlignment="1">
      <x:alignment horizontal="left"/>
    </x:xf>
    <x:xf numFmtId="2" fontId="0" fillId="0" borderId="2" xfId="49" applyNumberFormat="1" applyFont="1" applyFill="1" applyBorder="1" applyAlignment="1">
      <x:alignment horizontal="right"/>
    </x:xf>
    <x:xf numFmtId="2" fontId="0" fillId="4" borderId="2" xfId="49" applyNumberFormat="1" applyFont="1" applyFill="1" applyBorder="1" applyAlignment="1">
      <x:alignment horizontal="right"/>
    </x:xf>
    <x:xf numFmtId="2" fontId="0" fillId="5" borderId="2" xfId="49" applyNumberFormat="1" applyFont="1" applyFill="1" applyBorder="1" applyAlignment="1">
      <x:alignment horizontal="right"/>
    </x:xf>
    <x:xf numFmtId="0" fontId="2" fillId="0" borderId="3" xfId="49" applyNumberFormat="1" applyFont="1" applyFill="1" applyBorder="1" applyAlignment="1">
      <x:alignment horizontal="left"/>
    </x:xf>
    <x:xf numFmtId="2" fontId="0" fillId="0" borderId="3" xfId="49" applyNumberFormat="1" applyFont="1" applyFill="1" applyBorder="1" applyAlignment="1">
      <x:alignment horizontal="right"/>
    </x:xf>
    <x:xf numFmtId="2" fontId="0" fillId="5" borderId="3" xfId="49" applyNumberFormat="1" applyFont="1" applyFill="1" applyBorder="1" applyAlignment="1">
      <x:alignment horizontal="right"/>
    </x:xf>
    <x:xf numFmtId="0" fontId="23" fillId="0" borderId="0" xfId="0" applyNumberFormat="1" applyFont="1" applyFill="1" applyBorder="1"/>
    <x:xf numFmtId="0" fontId="23" fillId="37" borderId="0" xfId="0" applyNumberFormat="1" applyFont="1" applyFill="1" applyBorder="1"/>
    <x:xf numFmtId="0" fontId="24" fillId="37" borderId="0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200" fontId="23" fillId="0" borderId="0" xfId="0" applyNumberFormat="1" applyFont="1" applyFill="1" applyBorder="1" applyAlignment="1">
      <x:alignment wrapText="1"/>
    </x:xf>
    <x:xf numFmtId="0" fontId="23" fillId="38" borderId="0" xfId="0" applyNumberFormat="1" applyFont="1" applyFill="1" applyBorder="1"/>
    <x:xf numFmtId="0" fontId="24" fillId="38" borderId="0" xfId="0" applyNumberFormat="1" applyFont="1" applyFill="1" applyBorder="1"/>
    <x:xf numFmtId="0" fontId="23" fillId="39" borderId="0" xfId="0" applyNumberFormat="1" applyFont="1" applyFill="1" applyBorder="1"/>
    <x:xf numFmtId="0" fontId="24" fillId="39" borderId="0" xfId="0" applyNumberFormat="1" applyFont="1" applyFill="1" applyBorder="1"/>
    <x:xf numFmtId="0" fontId="23" fillId="40" borderId="0" xfId="0" applyNumberFormat="1" applyFont="1" applyFill="1" applyBorder="1"/>
    <x:xf numFmtId="0" fontId="25" fillId="40" borderId="0" xfId="0" applyNumberFormat="1" applyFont="1" applyFill="1" applyBorder="1"/>
    <x:xf numFmtId="0" fontId="25" fillId="4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23" fillId="0" borderId="0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fed37a2c348ab" /><Relationship Type="http://schemas.openxmlformats.org/officeDocument/2006/relationships/theme" Target="/xl/theme/theme1.xml" Id="Rb727bac3bd3a4dff" /><Relationship Type="http://schemas.openxmlformats.org/officeDocument/2006/relationships/sharedStrings" Target="/xl/sharedStrings.xml" Id="R91a310ac6447418f" /><Relationship Type="http://schemas.openxmlformats.org/officeDocument/2006/relationships/worksheet" Target="/xl/worksheets/sheet1.xml" Id="Rc911c72bb97b4f7b" /><Relationship Type="http://schemas.openxmlformats.org/officeDocument/2006/relationships/worksheet" Target="/xl/worksheets/sheet2.xml" Id="R59a8692b30fb4360" /><Relationship Type="http://schemas.openxmlformats.org/officeDocument/2006/relationships/worksheet" Target="/xl/worksheets/sheet3.xml" Id="Re9c7813ded664018" /><Relationship Type="http://schemas.openxmlformats.org/officeDocument/2006/relationships/worksheet" Target="/xl/worksheets/sheet4.xml" Id="R452f8a145a1349e0" /><Relationship Type="http://schemas.openxmlformats.org/officeDocument/2006/relationships/worksheet" Target="/xl/worksheets/sheet5.xml" Id="R293b23c854a44f67" /><Relationship Type="http://schemas.openxmlformats.org/officeDocument/2006/relationships/worksheet" Target="/xl/worksheets/sheet6.xml" Id="R2d54ae3a460a48a7" /><Relationship Type="http://schemas.openxmlformats.org/officeDocument/2006/relationships/worksheet" Target="/xl/worksheets/sheet7.xml" Id="R94e4fa7d9bb54b5f" /><Relationship Type="http://schemas.openxmlformats.org/officeDocument/2006/relationships/worksheet" Target="/xl/worksheets/sheet8.xml" Id="Rbb850769114346e5" /></Relationships>
</file>

<file path=xl/tables/table1.xml><?xml version="1.0" encoding="utf-8"?>
<x:table xmlns:x="http://schemas.openxmlformats.org/spreadsheetml/2006/main" id="1" name="ScalingPerformanceWide" displayName="ScalingPerformanceWide" ref="A1:M11" totalsRowShown="0">
  <x:tableColumns count="13">
    <x:tableColumn id="1" name="Model"/>
    <x:tableColumn id="2" name="N=10 Mean"/>
    <x:tableColumn id="3" name="N=10 SD"/>
    <x:tableColumn id="4" name="N=20 Mean"/>
    <x:tableColumn id="5" name="N=20 SD"/>
    <x:tableColumn id="6" name="N=100 Mean"/>
    <x:tableColumn id="7" name="N=100 SD"/>
    <x:tableColumn id="8" name="N=200 Mean"/>
    <x:tableColumn id="9" name="N=200 SD"/>
    <x:tableColumn id="10" name="N=500 Mean"/>
    <x:tableColumn id="11" name="N=500 SD"/>
    <x:tableColumn id="12" name="N=1000 Mean"/>
    <x:tableColumn id="13" name="N=1000 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alingPerformanceLong" displayName="ScalingPerformanceLong" ref="A1:D61" totalsRowShown="0">
  <x:tableColumns count="4">
    <x:tableColumn id="1" name="Model"/>
    <x:tableColumn id="2" name="Candidate Classes (N)"/>
    <x:tableColumn id="3" name="Mean Top-1 Accuracy (%)"/>
    <x:tableColumn id="4" name="SD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alingPerformanceSources" displayName="ScalingPerformanceSources" ref="A1:E6" totalsRowShown="0">
  <x:tableColumns count="5">
    <x:tableColumn id="1" name="Reference workbook"/>
    <x:tableColumn id="2" name="Worksheet"/>
    <x:tableColumn id="3" name="Used for"/>
    <x:tableColumn id="4" name="Models / points"/>
    <x:tableColumn id="5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a8579317ce43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c3d99764c742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97baddd6d947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customWidth="1"/>
    <x:col min="2" max="13" width="1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>
      <x:c r="A2" s="16" t="s">
        <x:v>13</x:v>
      </x:c>
      <x:c r="B2" s="17" t="n">
        <x:v>93.76</x:v>
      </x:c>
      <x:c r="C2" s="18">
        <x:v>1.13</x:v>
      </x:c>
      <x:c r="D2" s="17">
        <x:v>88.6</x:v>
      </x:c>
      <x:c r="E2" s="18">
        <x:v>1.65</x:v>
      </x:c>
      <x:c r="F2" s="17">
        <x:v>55.54</x:v>
      </x:c>
      <x:c r="G2" s="18">
        <x:v>0.98</x:v>
      </x:c>
      <x:c r="H2" s="17">
        <x:v>15.7</x:v>
      </x:c>
      <x:c r="I2" s="18">
        <x:v>0.46</x:v>
      </x:c>
      <x:c r="J2" s="17">
        <x:v>10.44</x:v>
      </x:c>
      <x:c r="K2" s="18">
        <x:v>0.24</x:v>
      </x:c>
      <x:c r="L2" s="17">
        <x:v>1.68</x:v>
      </x:c>
      <x:c r="M2" s="18">
        <x:v>0.04</x:v>
      </x:c>
    </x:row>
    <x:row r="3">
      <x:c r="A3" s="16" t="s">
        <x:v>14</x:v>
      </x:c>
      <x:c r="B3" s="17" t="n">
        <x:v>93.88</x:v>
      </x:c>
      <x:c r="C3" s="18">
        <x:v>1.66</x:v>
      </x:c>
      <x:c r="D3" s="17" t="n">
        <x:v>90.08</x:v>
      </x:c>
      <x:c r="E3" s="18">
        <x:v>2.14</x:v>
      </x:c>
      <x:c r="F3" s="17">
        <x:v>55.22</x:v>
      </x:c>
      <x:c r="G3" s="18">
        <x:v>0.55</x:v>
      </x:c>
      <x:c r="H3" s="17">
        <x:v>41.53</x:v>
      </x:c>
      <x:c r="I3" s="18">
        <x:v>1.75</x:v>
      </x:c>
      <x:c r="J3" s="17">
        <x:v>26.72</x:v>
      </x:c>
      <x:c r="K3" s="18">
        <x:v>0.64</x:v>
      </x:c>
      <x:c r="L3" s="17">
        <x:v>25.47</x:v>
      </x:c>
      <x:c r="M3" s="18">
        <x:v>0.95</x:v>
      </x:c>
    </x:row>
    <x:row r="4">
      <x:c r="A4" s="16" t="s">
        <x:v>15</x:v>
      </x:c>
      <x:c r="B4" s="17" t="n">
        <x:v>88.76</x:v>
      </x:c>
      <x:c r="C4" s="19">
        <x:v>1.95</x:v>
      </x:c>
      <x:c r="D4" s="17" t="n">
        <x:v>82.16</x:v>
      </x:c>
      <x:c r="E4" s="19">
        <x:v>1.51</x:v>
      </x:c>
      <x:c r="F4" s="17">
        <x:v>68.64</x:v>
      </x:c>
      <x:c r="G4" s="19">
        <x:v>1.12</x:v>
      </x:c>
      <x:c r="H4" s="17">
        <x:v>58.62</x:v>
      </x:c>
      <x:c r="I4" s="19">
        <x:v>0.8</x:v>
      </x:c>
      <x:c r="J4" s="17">
        <x:v>41.88</x:v>
      </x:c>
      <x:c r="K4" s="19">
        <x:v>0.23</x:v>
      </x:c>
      <x:c r="L4" s="17">
        <x:v>31.46</x:v>
      </x:c>
      <x:c r="M4" s="19">
        <x:v>0.29</x:v>
      </x:c>
    </x:row>
    <x:row r="5">
      <x:c r="A5" s="16" t="s">
        <x:v>16</x:v>
      </x:c>
      <x:c r="B5" s="17" t="n">
        <x:v>68.72</x:v>
      </x:c>
      <x:c r="C5" s="19">
        <x:v>1.89</x:v>
      </x:c>
      <x:c r="D5" s="17">
        <x:v>49</x:v>
      </x:c>
      <x:c r="E5" s="19">
        <x:v>1.3</x:v>
      </x:c>
      <x:c r="F5" s="17">
        <x:v>17.84</x:v>
      </x:c>
      <x:c r="G5" s="19">
        <x:v>0.87</x:v>
      </x:c>
      <x:c r="H5" s="17">
        <x:v>7.21</x:v>
      </x:c>
      <x:c r="I5" s="19">
        <x:v>0.72</x:v>
      </x:c>
      <x:c r="J5" s="17">
        <x:v>2.2</x:v>
      </x:c>
      <x:c r="K5" s="19">
        <x:v>0.48</x:v>
      </x:c>
      <x:c r="L5" s="17">
        <x:v>0.5</x:v>
      </x:c>
      <x:c r="M5" s="19">
        <x:v>0.33</x:v>
      </x:c>
    </x:row>
    <x:row r="6">
      <x:c r="A6" s="16" t="s">
        <x:v>17</x:v>
      </x:c>
      <x:c r="B6" s="17" t="n">
        <x:v>94.28</x:v>
      </x:c>
      <x:c r="C6" s="19">
        <x:v>1.83</x:v>
      </x:c>
      <x:c r="D6" s="17" t="n">
        <x:v>87.7</x:v>
      </x:c>
      <x:c r="E6" s="19">
        <x:v>1.62</x:v>
      </x:c>
      <x:c r="F6" s="17">
        <x:v>63.72</x:v>
      </x:c>
      <x:c r="G6" s="19">
        <x:v>1.33</x:v>
      </x:c>
      <x:c r="H6" s="17">
        <x:v>52.53</x:v>
      </x:c>
      <x:c r="I6" s="19">
        <x:v>0.99</x:v>
      </x:c>
      <x:c r="J6" s="17">
        <x:v>40.72</x:v>
      </x:c>
      <x:c r="K6" s="19">
        <x:v>0.47</x:v>
      </x:c>
      <x:c r="L6" s="17">
        <x:v>35.69</x:v>
      </x:c>
      <x:c r="M6" s="19">
        <x:v>0.26</x:v>
      </x:c>
    </x:row>
    <x:row r="7">
      <x:c r="A7" s="16" t="s">
        <x:v>18</x:v>
      </x:c>
      <x:c r="B7" s="17" t="n">
        <x:v>97.16</x:v>
      </x:c>
      <x:c r="C7" s="19">
        <x:v>2.06</x:v>
      </x:c>
      <x:c r="D7" s="17" t="n">
        <x:v>95.24</x:v>
      </x:c>
      <x:c r="E7" s="19">
        <x:v>2.35</x:v>
      </x:c>
      <x:c r="F7" s="17">
        <x:v>84.88</x:v>
      </x:c>
      <x:c r="G7" s="19">
        <x:v>1.57</x:v>
      </x:c>
      <x:c r="H7" s="17">
        <x:v>82.94</x:v>
      </x:c>
      <x:c r="I7" s="19">
        <x:v>1.02</x:v>
      </x:c>
      <x:c r="J7" s="17">
        <x:v>70.4</x:v>
      </x:c>
      <x:c r="K7" s="19">
        <x:v>0.64</x:v>
      </x:c>
      <x:c r="L7" s="17">
        <x:v>61.8</x:v>
      </x:c>
      <x:c r="M7" s="19">
        <x:v>0.73</x:v>
      </x:c>
    </x:row>
    <x:row r="8">
      <x:c r="A8" s="16" t="s">
        <x:v>19</x:v>
      </x:c>
      <x:c r="B8" s="17" t="n">
        <x:v>98.04</x:v>
      </x:c>
      <x:c r="C8" s="18">
        <x:v>1.94</x:v>
      </x:c>
      <x:c r="D8" s="17" t="n">
        <x:v>97.24</x:v>
      </x:c>
      <x:c r="E8" s="18">
        <x:v>1.55</x:v>
      </x:c>
      <x:c r="F8" s="17">
        <x:v>87</x:v>
      </x:c>
      <x:c r="G8" s="18">
        <x:v>1.65</x:v>
      </x:c>
      <x:c r="H8" s="17">
        <x:v>84.19</x:v>
      </x:c>
      <x:c r="I8" s="18">
        <x:v>1.35</x:v>
      </x:c>
      <x:c r="J8" s="17">
        <x:v>73.98</x:v>
      </x:c>
      <x:c r="K8" s="18">
        <x:v>1.76</x:v>
      </x:c>
      <x:c r="L8" s="17">
        <x:v>65.5</x:v>
      </x:c>
      <x:c r="M8" s="18">
        <x:v>0.69</x:v>
      </x:c>
    </x:row>
    <x:row r="9">
      <x:c r="A9" s="16" t="s">
        <x:v>20</x:v>
      </x:c>
      <x:c r="B9" s="17" t="n">
        <x:v>98.52</x:v>
      </x:c>
      <x:c r="C9" s="18">
        <x:v>1.63</x:v>
      </x:c>
      <x:c r="D9" s="17" t="n">
        <x:v>97.24</x:v>
      </x:c>
      <x:c r="E9" s="18">
        <x:v>1.39</x:v>
      </x:c>
      <x:c r="F9" s="17">
        <x:v>90.52</x:v>
      </x:c>
      <x:c r="G9" s="18">
        <x:v>1.32</x:v>
      </x:c>
      <x:c r="H9" s="17">
        <x:v>86.45</x:v>
      </x:c>
      <x:c r="I9" s="18">
        <x:v>1.65</x:v>
      </x:c>
      <x:c r="J9" s="17">
        <x:v>79.5</x:v>
      </x:c>
      <x:c r="K9" s="18">
        <x:v>1.53</x:v>
      </x:c>
      <x:c r="L9" s="17">
        <x:v>71.62</x:v>
      </x:c>
      <x:c r="M9" s="18">
        <x:v>0.98</x:v>
      </x:c>
    </x:row>
    <x:row r="10">
      <x:c r="A10" s="16" t="s">
        <x:v>21</x:v>
      </x:c>
      <x:c r="B10" s="17" t="n">
        <x:v>95.8</x:v>
      </x:c>
      <x:c r="C10" s="19">
        <x:v>1.87</x:v>
      </x:c>
      <x:c r="D10" s="17">
        <x:v>89.86</x:v>
      </x:c>
      <x:c r="E10" s="19">
        <x:v>1.84</x:v>
      </x:c>
      <x:c r="F10" s="17">
        <x:v>75.31</x:v>
      </x:c>
      <x:c r="G10" s="19">
        <x:v>1.6</x:v>
      </x:c>
      <x:c r="H10" s="17">
        <x:v>66.28</x:v>
      </x:c>
      <x:c r="I10" s="19">
        <x:v>1.11</x:v>
      </x:c>
      <x:c r="J10" s="17">
        <x:v>53.12</x:v>
      </x:c>
      <x:c r="K10" s="19">
        <x:v>0.77</x:v>
      </x:c>
      <x:c r="L10" s="17">
        <x:v>40.54</x:v>
      </x:c>
      <x:c r="M10" s="19">
        <x:v>0.36</x:v>
      </x:c>
    </x:row>
    <x:row r="11">
      <x:c r="A11" s="20" t="s">
        <x:v>22</x:v>
      </x:c>
      <x:c r="B11" s="21" t="n">
        <x:v>97.04</x:v>
      </x:c>
      <x:c r="C11" s="22">
        <x:v>2.09</x:v>
      </x:c>
      <x:c r="D11" s="21">
        <x:v>96.8</x:v>
      </x:c>
      <x:c r="E11" s="22">
        <x:v>1.83</x:v>
      </x:c>
      <x:c r="F11" s="21">
        <x:v>91.02</x:v>
      </x:c>
      <x:c r="G11" s="22">
        <x:v>0.86</x:v>
      </x:c>
      <x:c r="H11" s="21">
        <x:v>84.24</x:v>
      </x:c>
      <x:c r="I11" s="22">
        <x:v>0.74</x:v>
      </x:c>
      <x:c r="J11" s="21">
        <x:v>76.56</x:v>
      </x:c>
      <x:c r="K11" s="22">
        <x:v>0.49</x:v>
      </x:c>
      <x:c r="L11" s="21">
        <x:v>67.56</x:v>
      </x:c>
      <x:c r="M11" s="22">
        <x:v>0.38</x:v>
      </x:c>
    </x:row>
  </x:sheetData>
  <x:pageMargins left="0.7" right="0.7" top="0.75" bottom="0.75" header="0.3" footer="0.3"/>
  <x:tableParts count="1">
    <x:tablePart xmlns:r="http://schemas.openxmlformats.org/officeDocument/2006/relationships" r:id="R41a8579317ce43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customWidth="1"/>
    <x:col min="2" max="2" width="22" customWidth="1"/>
    <x:col min="3" max="3" width="26" customWidth="1"/>
    <x:col min="4" max="4" width="12" customWidth="1"/>
  </x:cols>
  <x:sheetData>
    <x:row r="1">
      <x:c r="A1" s="10" t="s">
        <x:v>0</x:v>
      </x:c>
      <x:c r="B1" s="10" t="s">
        <x:v>23</x:v>
      </x:c>
      <x:c r="C1" s="10" t="s">
        <x:v>24</x:v>
      </x:c>
      <x:c r="D1" s="10" t="s">
        <x:v>25</x:v>
      </x:c>
    </x:row>
    <x:row r="2">
      <x:c r="A2" s="11" t="s">
        <x:v>13</x:v>
      </x:c>
      <x:c r="B2" s="12">
        <x:v>10</x:v>
      </x:c>
      <x:c r="C2" s="13" t="n">
        <x:v>93.76</x:v>
      </x:c>
      <x:c r="D2" s="14"/>
    </x:row>
    <x:row r="3">
      <x:c r="A3" s="11" t="s">
        <x:v>13</x:v>
      </x:c>
      <x:c r="B3" s="12">
        <x:v>20</x:v>
      </x:c>
      <x:c r="C3" s="13">
        <x:v>88.6</x:v>
      </x:c>
      <x:c r="D3" s="14"/>
    </x:row>
    <x:row r="4">
      <x:c r="A4" s="11" t="s">
        <x:v>13</x:v>
      </x:c>
      <x:c r="B4" s="12">
        <x:v>100</x:v>
      </x:c>
      <x:c r="C4" s="13">
        <x:v>55.54</x:v>
      </x:c>
      <x:c r="D4" s="14"/>
    </x:row>
    <x:row r="5">
      <x:c r="A5" s="11" t="s">
        <x:v>13</x:v>
      </x:c>
      <x:c r="B5" s="12">
        <x:v>200</x:v>
      </x:c>
      <x:c r="C5" s="13">
        <x:v>15.7</x:v>
      </x:c>
      <x:c r="D5" s="14"/>
    </x:row>
    <x:row r="6">
      <x:c r="A6" s="11" t="s">
        <x:v>13</x:v>
      </x:c>
      <x:c r="B6" s="12">
        <x:v>500</x:v>
      </x:c>
      <x:c r="C6" s="13">
        <x:v>10.44</x:v>
      </x:c>
      <x:c r="D6" s="14"/>
    </x:row>
    <x:row r="7">
      <x:c r="A7" s="11" t="s">
        <x:v>13</x:v>
      </x:c>
      <x:c r="B7" s="12">
        <x:v>1000</x:v>
      </x:c>
      <x:c r="C7" s="13">
        <x:v>0.53</x:v>
      </x:c>
      <x:c r="D7" s="14"/>
    </x:row>
    <x:row r="8">
      <x:c r="A8" s="11" t="s">
        <x:v>14</x:v>
      </x:c>
      <x:c r="B8" s="12">
        <x:v>10</x:v>
      </x:c>
      <x:c r="C8" s="13" t="n">
        <x:v>93.88</x:v>
      </x:c>
      <x:c r="D8" s="14"/>
    </x:row>
    <x:row r="9">
      <x:c r="A9" s="11" t="s">
        <x:v>14</x:v>
      </x:c>
      <x:c r="B9" s="12">
        <x:v>20</x:v>
      </x:c>
      <x:c r="C9" s="13" t="n">
        <x:v>90.08</x:v>
      </x:c>
      <x:c r="D9" s="14"/>
    </x:row>
    <x:row r="10">
      <x:c r="A10" s="11" t="s">
        <x:v>14</x:v>
      </x:c>
      <x:c r="B10" s="12">
        <x:v>100</x:v>
      </x:c>
      <x:c r="C10" s="13">
        <x:v>55.22</x:v>
      </x:c>
      <x:c r="D10" s="14"/>
    </x:row>
    <x:row r="11">
      <x:c r="A11" s="11" t="s">
        <x:v>14</x:v>
      </x:c>
      <x:c r="B11" s="12">
        <x:v>200</x:v>
      </x:c>
      <x:c r="C11" s="13">
        <x:v>41.53</x:v>
      </x:c>
      <x:c r="D11" s="14"/>
    </x:row>
    <x:row r="12">
      <x:c r="A12" s="11" t="s">
        <x:v>14</x:v>
      </x:c>
      <x:c r="B12" s="12">
        <x:v>500</x:v>
      </x:c>
      <x:c r="C12" s="13">
        <x:v>26.72</x:v>
      </x:c>
      <x:c r="D12" s="14"/>
    </x:row>
    <x:row r="13">
      <x:c r="A13" s="11" t="s">
        <x:v>14</x:v>
      </x:c>
      <x:c r="B13" s="12">
        <x:v>1000</x:v>
      </x:c>
      <x:c r="C13" s="13">
        <x:v>25.47</x:v>
      </x:c>
      <x:c r="D13" s="14"/>
    </x:row>
    <x:row r="14">
      <x:c r="A14" s="11" t="s">
        <x:v>15</x:v>
      </x:c>
      <x:c r="B14" s="12">
        <x:v>10</x:v>
      </x:c>
      <x:c r="C14" s="13" t="n">
        <x:v>88.76</x:v>
      </x:c>
      <x:c r="D14" s="15">
        <x:v>1.95</x:v>
      </x:c>
    </x:row>
    <x:row r="15">
      <x:c r="A15" s="11" t="s">
        <x:v>15</x:v>
      </x:c>
      <x:c r="B15" s="12">
        <x:v>20</x:v>
      </x:c>
      <x:c r="C15" s="13" t="n">
        <x:v>82.16</x:v>
      </x:c>
      <x:c r="D15" s="15">
        <x:v>1.51</x:v>
      </x:c>
    </x:row>
    <x:row r="16">
      <x:c r="A16" s="11" t="s">
        <x:v>15</x:v>
      </x:c>
      <x:c r="B16" s="12">
        <x:v>100</x:v>
      </x:c>
      <x:c r="C16" s="13">
        <x:v>68.64</x:v>
      </x:c>
      <x:c r="D16" s="15">
        <x:v>1.12</x:v>
      </x:c>
    </x:row>
    <x:row r="17">
      <x:c r="A17" s="11" t="s">
        <x:v>15</x:v>
      </x:c>
      <x:c r="B17" s="12">
        <x:v>200</x:v>
      </x:c>
      <x:c r="C17" s="13">
        <x:v>58.62</x:v>
      </x:c>
      <x:c r="D17" s="15">
        <x:v>0.8</x:v>
      </x:c>
    </x:row>
    <x:row r="18">
      <x:c r="A18" s="11" t="s">
        <x:v>15</x:v>
      </x:c>
      <x:c r="B18" s="12">
        <x:v>500</x:v>
      </x:c>
      <x:c r="C18" s="13">
        <x:v>41.88</x:v>
      </x:c>
      <x:c r="D18" s="15">
        <x:v>0.23</x:v>
      </x:c>
    </x:row>
    <x:row r="19">
      <x:c r="A19" s="11" t="s">
        <x:v>15</x:v>
      </x:c>
      <x:c r="B19" s="12">
        <x:v>1000</x:v>
      </x:c>
      <x:c r="C19" s="13">
        <x:v>31.46</x:v>
      </x:c>
      <x:c r="D19" s="15">
        <x:v>0.29</x:v>
      </x:c>
    </x:row>
    <x:row r="20">
      <x:c r="A20" s="11" t="s">
        <x:v>16</x:v>
      </x:c>
      <x:c r="B20" s="12">
        <x:v>10</x:v>
      </x:c>
      <x:c r="C20" s="13" t="n">
        <x:v>68.72</x:v>
      </x:c>
      <x:c r="D20" s="15">
        <x:v>1.89</x:v>
      </x:c>
    </x:row>
    <x:row r="21">
      <x:c r="A21" s="11" t="s">
        <x:v>16</x:v>
      </x:c>
      <x:c r="B21" s="12">
        <x:v>20</x:v>
      </x:c>
      <x:c r="C21" s="13">
        <x:v>49</x:v>
      </x:c>
      <x:c r="D21" s="15">
        <x:v>1.3</x:v>
      </x:c>
    </x:row>
    <x:row r="22">
      <x:c r="A22" s="11" t="s">
        <x:v>16</x:v>
      </x:c>
      <x:c r="B22" s="12">
        <x:v>100</x:v>
      </x:c>
      <x:c r="C22" s="13">
        <x:v>17.84</x:v>
      </x:c>
      <x:c r="D22" s="15">
        <x:v>0.87</x:v>
      </x:c>
    </x:row>
    <x:row r="23">
      <x:c r="A23" s="11" t="s">
        <x:v>16</x:v>
      </x:c>
      <x:c r="B23" s="12">
        <x:v>200</x:v>
      </x:c>
      <x:c r="C23" s="13">
        <x:v>7.21</x:v>
      </x:c>
      <x:c r="D23" s="15">
        <x:v>0.72</x:v>
      </x:c>
    </x:row>
    <x:row r="24">
      <x:c r="A24" s="11" t="s">
        <x:v>16</x:v>
      </x:c>
      <x:c r="B24" s="12">
        <x:v>500</x:v>
      </x:c>
      <x:c r="C24" s="13">
        <x:v>2.2</x:v>
      </x:c>
      <x:c r="D24" s="15">
        <x:v>0.48</x:v>
      </x:c>
    </x:row>
    <x:row r="25">
      <x:c r="A25" s="11" t="s">
        <x:v>16</x:v>
      </x:c>
      <x:c r="B25" s="12">
        <x:v>1000</x:v>
      </x:c>
      <x:c r="C25" s="13">
        <x:v>0.5</x:v>
      </x:c>
      <x:c r="D25" s="15">
        <x:v>0.33</x:v>
      </x:c>
    </x:row>
    <x:row r="26">
      <x:c r="A26" s="11" t="s">
        <x:v>17</x:v>
      </x:c>
      <x:c r="B26" s="12">
        <x:v>10</x:v>
      </x:c>
      <x:c r="C26" s="13" t="n">
        <x:v>94.28</x:v>
      </x:c>
      <x:c r="D26" s="15">
        <x:v>1.83</x:v>
      </x:c>
    </x:row>
    <x:row r="27">
      <x:c r="A27" s="11" t="s">
        <x:v>17</x:v>
      </x:c>
      <x:c r="B27" s="12">
        <x:v>20</x:v>
      </x:c>
      <x:c r="C27" s="13" t="n">
        <x:v>87.7</x:v>
      </x:c>
      <x:c r="D27" s="15">
        <x:v>1.62</x:v>
      </x:c>
    </x:row>
    <x:row r="28">
      <x:c r="A28" s="11" t="s">
        <x:v>17</x:v>
      </x:c>
      <x:c r="B28" s="12">
        <x:v>100</x:v>
      </x:c>
      <x:c r="C28" s="13">
        <x:v>63.72</x:v>
      </x:c>
      <x:c r="D28" s="15">
        <x:v>1.33</x:v>
      </x:c>
    </x:row>
    <x:row r="29">
      <x:c r="A29" s="11" t="s">
        <x:v>17</x:v>
      </x:c>
      <x:c r="B29" s="12">
        <x:v>200</x:v>
      </x:c>
      <x:c r="C29" s="13">
        <x:v>52.53</x:v>
      </x:c>
      <x:c r="D29" s="15">
        <x:v>0.99</x:v>
      </x:c>
    </x:row>
    <x:row r="30">
      <x:c r="A30" s="11" t="s">
        <x:v>17</x:v>
      </x:c>
      <x:c r="B30" s="12">
        <x:v>500</x:v>
      </x:c>
      <x:c r="C30" s="13">
        <x:v>40.72</x:v>
      </x:c>
      <x:c r="D30" s="15">
        <x:v>0.47</x:v>
      </x:c>
    </x:row>
    <x:row r="31">
      <x:c r="A31" s="11" t="s">
        <x:v>17</x:v>
      </x:c>
      <x:c r="B31" s="12">
        <x:v>1000</x:v>
      </x:c>
      <x:c r="C31" s="13">
        <x:v>35.69</x:v>
      </x:c>
      <x:c r="D31" s="15">
        <x:v>0.26</x:v>
      </x:c>
    </x:row>
    <x:row r="32">
      <x:c r="A32" s="11" t="s">
        <x:v>18</x:v>
      </x:c>
      <x:c r="B32" s="12">
        <x:v>10</x:v>
      </x:c>
      <x:c r="C32" s="13" t="n">
        <x:v>97.16</x:v>
      </x:c>
      <x:c r="D32" s="15">
        <x:v>2.06</x:v>
      </x:c>
    </x:row>
    <x:row r="33">
      <x:c r="A33" s="11" t="s">
        <x:v>18</x:v>
      </x:c>
      <x:c r="B33" s="12">
        <x:v>20</x:v>
      </x:c>
      <x:c r="C33" s="13" t="n">
        <x:v>95.24</x:v>
      </x:c>
      <x:c r="D33" s="15">
        <x:v>2.35</x:v>
      </x:c>
    </x:row>
    <x:row r="34">
      <x:c r="A34" s="11" t="s">
        <x:v>18</x:v>
      </x:c>
      <x:c r="B34" s="12">
        <x:v>100</x:v>
      </x:c>
      <x:c r="C34" s="13">
        <x:v>84.88</x:v>
      </x:c>
      <x:c r="D34" s="15">
        <x:v>1.57</x:v>
      </x:c>
    </x:row>
    <x:row r="35">
      <x:c r="A35" s="11" t="s">
        <x:v>18</x:v>
      </x:c>
      <x:c r="B35" s="12">
        <x:v>200</x:v>
      </x:c>
      <x:c r="C35" s="13">
        <x:v>82.94</x:v>
      </x:c>
      <x:c r="D35" s="15">
        <x:v>1.02</x:v>
      </x:c>
    </x:row>
    <x:row r="36">
      <x:c r="A36" s="11" t="s">
        <x:v>18</x:v>
      </x:c>
      <x:c r="B36" s="12">
        <x:v>500</x:v>
      </x:c>
      <x:c r="C36" s="13">
        <x:v>70.4</x:v>
      </x:c>
      <x:c r="D36" s="15">
        <x:v>0.64</x:v>
      </x:c>
    </x:row>
    <x:row r="37">
      <x:c r="A37" s="11" t="s">
        <x:v>18</x:v>
      </x:c>
      <x:c r="B37" s="12">
        <x:v>1000</x:v>
      </x:c>
      <x:c r="C37" s="13">
        <x:v>61.8</x:v>
      </x:c>
      <x:c r="D37" s="15">
        <x:v>0.73</x:v>
      </x:c>
    </x:row>
    <x:row r="38">
      <x:c r="A38" s="11" t="s">
        <x:v>19</x:v>
      </x:c>
      <x:c r="B38" s="12">
        <x:v>10</x:v>
      </x:c>
      <x:c r="C38" s="13" t="n">
        <x:v>98.04</x:v>
      </x:c>
      <x:c r="D38" s="14"/>
    </x:row>
    <x:row r="39">
      <x:c r="A39" s="11" t="s">
        <x:v>19</x:v>
      </x:c>
      <x:c r="B39" s="12">
        <x:v>20</x:v>
      </x:c>
      <x:c r="C39" s="13" t="n">
        <x:v>97.24</x:v>
      </x:c>
      <x:c r="D39" s="14"/>
    </x:row>
    <x:row r="40">
      <x:c r="A40" s="11" t="s">
        <x:v>19</x:v>
      </x:c>
      <x:c r="B40" s="12">
        <x:v>100</x:v>
      </x:c>
      <x:c r="C40" s="13">
        <x:v>87</x:v>
      </x:c>
      <x:c r="D40" s="14"/>
    </x:row>
    <x:row r="41">
      <x:c r="A41" s="11" t="s">
        <x:v>19</x:v>
      </x:c>
      <x:c r="B41" s="12">
        <x:v>200</x:v>
      </x:c>
      <x:c r="C41" s="13">
        <x:v>84.19</x:v>
      </x:c>
      <x:c r="D41" s="14"/>
    </x:row>
    <x:row r="42">
      <x:c r="A42" s="11" t="s">
        <x:v>19</x:v>
      </x:c>
      <x:c r="B42" s="12">
        <x:v>500</x:v>
      </x:c>
      <x:c r="C42" s="13">
        <x:v>73.98</x:v>
      </x:c>
      <x:c r="D42" s="14"/>
    </x:row>
    <x:row r="43">
      <x:c r="A43" s="11" t="s">
        <x:v>19</x:v>
      </x:c>
      <x:c r="B43" s="12">
        <x:v>1000</x:v>
      </x:c>
      <x:c r="C43" s="13">
        <x:v>65.5</x:v>
      </x:c>
      <x:c r="D43" s="14"/>
    </x:row>
    <x:row r="44">
      <x:c r="A44" s="11" t="s">
        <x:v>20</x:v>
      </x:c>
      <x:c r="B44" s="12">
        <x:v>10</x:v>
      </x:c>
      <x:c r="C44" s="13" t="n">
        <x:v>98.52</x:v>
      </x:c>
      <x:c r="D44" s="14"/>
    </x:row>
    <x:row r="45">
      <x:c r="A45" s="11" t="s">
        <x:v>20</x:v>
      </x:c>
      <x:c r="B45" s="12">
        <x:v>20</x:v>
      </x:c>
      <x:c r="C45" s="13" t="n">
        <x:v>97.24</x:v>
      </x:c>
      <x:c r="D45" s="14"/>
    </x:row>
    <x:row r="46">
      <x:c r="A46" s="11" t="s">
        <x:v>20</x:v>
      </x:c>
      <x:c r="B46" s="12">
        <x:v>100</x:v>
      </x:c>
      <x:c r="C46" s="13">
        <x:v>90.52</x:v>
      </x:c>
      <x:c r="D46" s="14"/>
    </x:row>
    <x:row r="47">
      <x:c r="A47" s="11" t="s">
        <x:v>20</x:v>
      </x:c>
      <x:c r="B47" s="12">
        <x:v>200</x:v>
      </x:c>
      <x:c r="C47" s="13">
        <x:v>86.45</x:v>
      </x:c>
      <x:c r="D47" s="14"/>
    </x:row>
    <x:row r="48">
      <x:c r="A48" s="11" t="s">
        <x:v>20</x:v>
      </x:c>
      <x:c r="B48" s="12">
        <x:v>500</x:v>
      </x:c>
      <x:c r="C48" s="13">
        <x:v>79.5</x:v>
      </x:c>
      <x:c r="D48" s="14"/>
    </x:row>
    <x:row r="49">
      <x:c r="A49" s="11" t="s">
        <x:v>20</x:v>
      </x:c>
      <x:c r="B49" s="12">
        <x:v>1000</x:v>
      </x:c>
      <x:c r="C49" s="13">
        <x:v>71.62</x:v>
      </x:c>
      <x:c r="D49" s="14"/>
    </x:row>
    <x:row r="50">
      <x:c r="A50" s="11" t="s">
        <x:v>21</x:v>
      </x:c>
      <x:c r="B50" s="12">
        <x:v>10</x:v>
      </x:c>
      <x:c r="C50" s="13" t="n">
        <x:v>95.8</x:v>
      </x:c>
      <x:c r="D50" s="15">
        <x:v>1.87</x:v>
      </x:c>
    </x:row>
    <x:row r="51">
      <x:c r="A51" s="11" t="s">
        <x:v>21</x:v>
      </x:c>
      <x:c r="B51" s="12">
        <x:v>20</x:v>
      </x:c>
      <x:c r="C51" s="13">
        <x:v>89.86</x:v>
      </x:c>
      <x:c r="D51" s="15">
        <x:v>1.84</x:v>
      </x:c>
    </x:row>
    <x:row r="52">
      <x:c r="A52" s="11" t="s">
        <x:v>21</x:v>
      </x:c>
      <x:c r="B52" s="12">
        <x:v>100</x:v>
      </x:c>
      <x:c r="C52" s="13">
        <x:v>75.31</x:v>
      </x:c>
      <x:c r="D52" s="15">
        <x:v>1.6</x:v>
      </x:c>
    </x:row>
    <x:row r="53">
      <x:c r="A53" s="11" t="s">
        <x:v>21</x:v>
      </x:c>
      <x:c r="B53" s="12">
        <x:v>200</x:v>
      </x:c>
      <x:c r="C53" s="13">
        <x:v>66.28</x:v>
      </x:c>
      <x:c r="D53" s="15">
        <x:v>1.11</x:v>
      </x:c>
    </x:row>
    <x:row r="54">
      <x:c r="A54" s="11" t="s">
        <x:v>21</x:v>
      </x:c>
      <x:c r="B54" s="12">
        <x:v>500</x:v>
      </x:c>
      <x:c r="C54" s="13">
        <x:v>53.12</x:v>
      </x:c>
      <x:c r="D54" s="15">
        <x:v>0.77</x:v>
      </x:c>
    </x:row>
    <x:row r="55">
      <x:c r="A55" s="11" t="s">
        <x:v>21</x:v>
      </x:c>
      <x:c r="B55" s="12">
        <x:v>1000</x:v>
      </x:c>
      <x:c r="C55" s="13">
        <x:v>40.54</x:v>
      </x:c>
      <x:c r="D55" s="15">
        <x:v>0.36</x:v>
      </x:c>
    </x:row>
    <x:row r="56">
      <x:c r="A56" s="11" t="s">
        <x:v>22</x:v>
      </x:c>
      <x:c r="B56" s="12">
        <x:v>10</x:v>
      </x:c>
      <x:c r="C56" s="13" t="n">
        <x:v>97.04</x:v>
      </x:c>
      <x:c r="D56" s="15">
        <x:v>2.09</x:v>
      </x:c>
    </x:row>
    <x:row r="57">
      <x:c r="A57" s="11" t="s">
        <x:v>22</x:v>
      </x:c>
      <x:c r="B57" s="12">
        <x:v>20</x:v>
      </x:c>
      <x:c r="C57" s="13">
        <x:v>96.8</x:v>
      </x:c>
      <x:c r="D57" s="15">
        <x:v>1.83</x:v>
      </x:c>
    </x:row>
    <x:row r="58">
      <x:c r="A58" s="11" t="s">
        <x:v>22</x:v>
      </x:c>
      <x:c r="B58" s="12">
        <x:v>100</x:v>
      </x:c>
      <x:c r="C58" s="13">
        <x:v>91.02</x:v>
      </x:c>
      <x:c r="D58" s="15">
        <x:v>0.86</x:v>
      </x:c>
    </x:row>
    <x:row r="59">
      <x:c r="A59" s="11" t="s">
        <x:v>22</x:v>
      </x:c>
      <x:c r="B59" s="12">
        <x:v>200</x:v>
      </x:c>
      <x:c r="C59" s="13">
        <x:v>84.24</x:v>
      </x:c>
      <x:c r="D59" s="15">
        <x:v>0.74</x:v>
      </x:c>
    </x:row>
    <x:row r="60">
      <x:c r="A60" s="11" t="s">
        <x:v>22</x:v>
      </x:c>
      <x:c r="B60" s="12">
        <x:v>500</x:v>
      </x:c>
      <x:c r="C60" s="13">
        <x:v>76.56</x:v>
      </x:c>
      <x:c r="D60" s="15">
        <x:v>0.49</x:v>
      </x:c>
    </x:row>
    <x:row r="61">
      <x:c r="A61" s="11" t="s">
        <x:v>22</x:v>
      </x:c>
      <x:c r="B61" s="12">
        <x:v>1000</x:v>
      </x:c>
      <x:c r="C61" s="13">
        <x:v>67.56</x:v>
      </x:c>
      <x:c r="D61" s="15">
        <x:v>0.38</x:v>
      </x:c>
    </x:row>
  </x:sheetData>
  <x:pageMargins left="0.7" right="0.7" top="0.75" bottom="0.75" header="0.3" footer="0.3"/>
  <x:tableParts count="1">
    <x:tablePart xmlns:r="http://schemas.openxmlformats.org/officeDocument/2006/relationships" r:id="R44c3d99764c7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0" customWidth="1"/>
    <x:col min="2" max="2" width="92" customWidth="1"/>
  </x:cols>
  <x:sheetData>
    <x:row r="1" ht="15" customHeight="1">
      <x:c r="A1" s="4" t="s">
        <x:v>26</x:v>
      </x:c>
      <x:c r="B1" s="5" t="s">
        <x:v>27</x:v>
      </x:c>
    </x:row>
    <x:row r="2" ht="15" customHeight="1">
      <x:c r="A2" s="6" t="s">
        <x:v>28</x:v>
      </x:c>
      <x:c r="B2" s="7" t="str">
        <x:v>Original source asset: pltb.py</x:v>
      </x:c>
    </x:row>
    <x:row r="3" ht="15" customHeight="1">
      <x:c r="A3" s="6" t="s">
        <x:v>29</x:v>
      </x:c>
      <x:c r="B3" s="7" t="s">
        <x:v>30</x:v>
      </x:c>
    </x:row>
    <x:row r="4" ht="15" customHeight="1">
      <x:c r="A4" s="6" t="s">
        <x:v>31</x:v>
      </x:c>
      <x:c r="B4" s="7" t="s">
        <x:v>32</x:v>
      </x:c>
    </x:row>
    <x:row r="5" ht="15" customHeight="1">
      <x:c r="A5" s="6" t="s">
        <x:v>33</x:v>
      </x:c>
      <x:c r="B5" s="7" t="s">
        <x:v>34</x:v>
      </x:c>
    </x:row>
    <x:row r="6" ht="15" customHeight="1">
      <x:c r="A6" s="6" t="s">
        <x:v>35</x:v>
      </x:c>
      <x:c r="B6" s="7" t="str">
        <x:v>Manuscript Figure 1 / Wide format; SD reporting version confirmed by the author on 2026-09-03.</x:v>
      </x:c>
    </x:row>
    <x:row r="7" ht="15" customHeight="1">
      <x:c r="A7" s="6" t="s">
        <x:v>36</x:v>
      </x:c>
      <x:c r="B7" s="7" t="s">
        <x:v>37</x:v>
      </x:c>
    </x:row>
    <x:row r="8" ht="78" customHeight="1">
      <x:c r="A8" s="6" t="s">
        <x:v>38</x:v>
      </x:c>
      <x:c r="B8" s="7" t="str">
        <x:v>2026-09-03: N=10 corrections retained; N=20 nearest-grid entry corrections applied to Wide and Long formats. See Grid Corrections. All SD values unchanged.</x:v>
      </x:c>
    </x:row>
    <x:row r="9" ht="26.399999618530273" customHeight="1">
      <x:c r="A9" s="6" t="str">
        <x:v>Historical missing SD</x:v>
      </x:c>
      <x:c r="B9" s="7" t="str">
        <x:v>The historical Long format has 24 blank SD cells. Current Long links all 60 mean/SD pairs to Wide format.</x:v>
      </x:c>
    </x:row>
    <x:row r="10" ht="26.399999618530273" customHeight="1">
      <x:c r="A10" s="6" t="s">
        <x:v>39</x:v>
      </x:c>
      <x:c r="B10" s="7" t="str">
        <x:v>Wide format is the current paper-aligned authority. Long format is retained as a historical source.</x:v>
      </x:c>
    </x:row>
    <x:row r="11" ht="15" customHeight="1">
      <x:c r="A11" s="8" t="s">
        <x:v>40</x:v>
      </x:c>
      <x:c r="B11" s="9" t="str">
        <x:v>Use Wide format or Current Long for analysis and plotting; SD Authority records provenance.</x:v>
      </x:c>
    </x:row>
    <x:row r="13" ht="65" customHeight="1">
      <x:c r="A13" s="35" t="str">
        <x:v>SD authority (2026-09-03)</x:v>
      </x:c>
      <x:c r="B13" s="35" t="str">
        <x:v>Wide format; manuscript SD values confirmed by the author.</x:v>
      </x:c>
    </x:row>
    <x:row r="14" ht="65" customHeight="1">
      <x:c r="A14" s="35" t="str">
        <x:v>Historical entries</x:v>
      </x:c>
      <x:c r="B14" s="35" t="str">
        <x:v>Original source / correction sheets are retained as history; use the current authority for analysis and plotting.</x:v>
      </x:c>
    </x:row>
    <x:row r="15" ht="65" customHeight="1">
      <x:c r="A15" s="35" t="str">
        <x:v>Audit trail</x:v>
      </x:c>
      <x:c r="B15" s="35" t="str">
        <x:v>SD Authority records differing or previously absent historical SD entries. No statistical recomputation.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18" customWidth="1"/>
    <x:col min="3" max="3" width="28" customWidth="1"/>
    <x:col min="4" max="4" width="56" customWidth="1"/>
    <x:col min="5" max="5" width="34" customWidth="1"/>
  </x:cols>
  <x:sheetData>
    <x:row r="1" ht="15" customHeight="1">
      <x:c r="A1" s="1" t="s">
        <x:v>41</x:v>
      </x:c>
      <x:c r="B1" s="1" t="s">
        <x:v>42</x:v>
      </x:c>
      <x:c r="C1" s="1" t="s">
        <x:v>43</x:v>
      </x:c>
      <x:c r="D1" s="1" t="s">
        <x:v>44</x:v>
      </x:c>
      <x:c r="E1" s="1" t="s">
        <x:v>45</x:v>
      </x:c>
    </x:row>
    <x:row r="2" ht="26.399999618530273" customHeight="1">
      <x:c r="A2" s="2" t="s">
        <x:v>46</x:v>
      </x:c>
      <x:c r="B2" s="2" t="s">
        <x:v>47</x:v>
      </x:c>
      <x:c r="C2" s="2" t="s">
        <x:v>48</x:v>
      </x:c>
      <x:c r="D2" s="2" t="s">
        <x:v>49</x:v>
      </x:c>
      <x:c r="E2" s="2" t="s">
        <x:v>50</x:v>
      </x:c>
    </x:row>
    <x:row r="3" ht="15" customHeight="1">
      <x:c r="A3" s="2" t="s">
        <x:v>51</x:v>
      </x:c>
      <x:c r="B3" s="2" t="s">
        <x:v>52</x:v>
      </x:c>
      <x:c r="C3" s="2" t="s">
        <x:v>53</x:v>
      </x:c>
      <x:c r="D3" s="2" t="s">
        <x:v>54</x:v>
      </x:c>
      <x:c r="E3" s="2" t="s">
        <x:v>55</x:v>
      </x:c>
    </x:row>
    <x:row r="4" ht="15" customHeight="1">
      <x:c r="A4" s="2" t="s">
        <x:v>56</x:v>
      </x:c>
      <x:c r="B4" s="2" t="s">
        <x:v>52</x:v>
      </x:c>
      <x:c r="C4" s="2" t="s">
        <x:v>57</x:v>
      </x:c>
      <x:c r="D4" s="2" t="s">
        <x:v>58</x:v>
      </x:c>
      <x:c r="E4" s="2" t="s">
        <x:v>59</x:v>
      </x:c>
    </x:row>
    <x:row r="5" ht="15" customHeight="1">
      <x:c r="A5" s="2" t="s">
        <x:v>60</x:v>
      </x:c>
      <x:c r="B5" s="2" t="s">
        <x:v>52</x:v>
      </x:c>
      <x:c r="C5" s="2" t="s">
        <x:v>57</x:v>
      </x:c>
      <x:c r="D5" s="2" t="s">
        <x:v>58</x:v>
      </x:c>
      <x:c r="E5" s="2" t="s">
        <x:v>59</x:v>
      </x:c>
    </x:row>
    <x:row r="6" ht="15" customHeight="1">
      <x:c r="A6" s="3" t="s">
        <x:v>61</x:v>
      </x:c>
      <x:c r="B6" s="3" t="s">
        <x:v>62</x:v>
      </x:c>
      <x:c r="C6" s="3" t="s">
        <x:v>63</x:v>
      </x:c>
      <x:c r="D6" s="3" t="s">
        <x:v>64</x:v>
      </x:c>
      <x:c r="E6" s="3" t="s">
        <x:v>65</x:v>
      </x:c>
    </x:row>
    <x:row r="7" ht="65" customHeight="1">
      <x:c r="A7" s="35" t="str">
        <x:v>Manuscript / author confirmation</x:v>
      </x:c>
      <x:c r="B7" s="35" t="str">
        <x:v>Wide format</x:v>
      </x:c>
      <x:c r="C7" s="35" t="str">
        <x:v>Current reported SDs for all 10 models</x:v>
      </x:c>
      <x:c r="D7" s="35" t="str">
        <x:v>All 60 scaling points</x:v>
      </x:c>
      <x:c r="E7" s="35" t="str">
        <x:v>Reporting version confirmed 2026-09-03; historical blanks preserved.</x:v>
      </x:c>
    </x:row>
  </x:sheetData>
  <x:pageMargins left="0.7" right="0.7" top="0.75" bottom="0.75" header="0.3" footer="0.3"/>
  <x:tableParts count="1">
    <x:tablePart xmlns:r="http://schemas.openxmlformats.org/officeDocument/2006/relationships" r:id="Rfe97baddd6d947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52" hidden="0" customWidth="1"/>
    <x:col min="4" max="4" width="14" hidden="0" customWidth="1"/>
    <x:col min="5" max="5" width="14" hidden="0" customWidth="1"/>
    <x:col min="6" max="6" width="50" hidden="0" customWidth="1"/>
  </x:cols>
  <x:sheetData>
    <x:row r="1" ht="28" customHeight="1">
      <x:c r="A1" s="25" t="str">
        <x:v>Date</x:v>
      </x:c>
      <x:c r="B1" s="25" t="str">
        <x:v>Location</x:v>
      </x:c>
      <x:c r="C1" s="25" t="str">
        <x:v>Model / method</x:v>
      </x:c>
      <x:c r="D1" s="25" t="str">
        <x:v>Before (%)</x:v>
      </x:c>
      <x:c r="E1" s="25" t="str">
        <x:v>After (%)</x:v>
      </x:c>
      <x:c r="F1" s="25" t="str">
        <x:v>Basis</x:v>
      </x:c>
    </x:row>
    <x:row r="2" ht="46" customHeight="1">
      <x:c r="A2" s="26" t="str">
        <x:v>2026-09-03</x:v>
      </x:c>
      <x:c r="B2" s="26" t="str">
        <x:v>Wide format!B2</x:v>
      </x:c>
      <x:c r="C2" s="26" t="str">
        <x:v>Llama-3.2-11B-Vision-Instruct / Flat</x:v>
      </x:c>
      <x:c r="D2" s="27" t="n">
        <x:v>93.77</x:v>
      </x:c>
      <x:c r="E2" s="27" t="n">
        <x:v>93.76</x:v>
      </x:c>
      <x:c r="F2" s="26" t="str">
        <x:v>Author-reported entry correction; not a per-run recomputation.</x:v>
      </x:c>
    </x:row>
    <x:row r="3" ht="46" customHeight="1">
      <x:c r="A3" s="26" t="str">
        <x:v>2026-09-03</x:v>
      </x:c>
      <x:c r="B3" s="26" t="str">
        <x:v>Wide format!B3</x:v>
      </x:c>
      <x:c r="C3" s="26" t="str">
        <x:v>Gemma-3-4B-IT / Flat</x:v>
      </x:c>
      <x:c r="D3" s="27" t="n">
        <x:v>93.89</x:v>
      </x:c>
      <x:c r="E3" s="27" t="n">
        <x:v>93.88</x:v>
      </x:c>
      <x:c r="F3" s="26" t="str">
        <x:v>Author-reported entry correction; not a per-run recomputation.</x:v>
      </x:c>
    </x:row>
    <x:row r="4" ht="46" customHeight="1">
      <x:c r="A4" s="26" t="str">
        <x:v>2026-09-03</x:v>
      </x:c>
      <x:c r="B4" s="26" t="str">
        <x:v>Wide format!B4</x:v>
      </x:c>
      <x:c r="C4" s="26" t="str">
        <x:v>Gemma-4-E4B / Flat</x:v>
      </x:c>
      <x:c r="D4" s="27" t="n">
        <x:v>88.78</x:v>
      </x:c>
      <x:c r="E4" s="27" t="n">
        <x:v>88.76</x:v>
      </x:c>
      <x:c r="F4" s="26" t="str">
        <x:v>Author-reported entry correction; not a per-run recomputation.</x:v>
      </x:c>
    </x:row>
    <x:row r="5" ht="46" customHeight="1">
      <x:c r="A5" s="26" t="str">
        <x:v>2026-09-03</x:v>
      </x:c>
      <x:c r="B5" s="26" t="str">
        <x:v>Wide format!B5</x:v>
      </x:c>
      <x:c r="C5" s="26" t="str">
        <x:v>DeepSeek-VL-7B-chat / Flat</x:v>
      </x:c>
      <x:c r="D5" s="27" t="n">
        <x:v>68.74</x:v>
      </x:c>
      <x:c r="E5" s="27" t="n">
        <x:v>68.72</x:v>
      </x:c>
      <x:c r="F5" s="26" t="str">
        <x:v>Author-reported entry correction; not a per-run recomputation.</x:v>
      </x:c>
    </x:row>
    <x:row r="6" ht="46" customHeight="1">
      <x:c r="A6" s="26" t="str">
        <x:v>2026-09-03</x:v>
      </x:c>
      <x:c r="B6" s="26" t="str">
        <x:v>Wide format!B6</x:v>
      </x:c>
      <x:c r="C6" s="26" t="str">
        <x:v>Kimi-VL-A3B-Instruct / Flat</x:v>
      </x:c>
      <x:c r="D6" s="27" t="n">
        <x:v>94.29</x:v>
      </x:c>
      <x:c r="E6" s="27" t="n">
        <x:v>94.28</x:v>
      </x:c>
      <x:c r="F6" s="26" t="str">
        <x:v>Author-reported entry correction; not a per-run recomputation.</x:v>
      </x:c>
    </x:row>
    <x:row r="7" ht="46" customHeight="1">
      <x:c r="A7" s="26" t="str">
        <x:v>2026-09-03</x:v>
      </x:c>
      <x:c r="B7" s="26" t="str">
        <x:v>Wide format!B7</x:v>
      </x:c>
      <x:c r="C7" s="26" t="str">
        <x:v>Qwen2.5-VL-7B-Instruct / Flat</x:v>
      </x:c>
      <x:c r="D7" s="27" t="n">
        <x:v>97.18</x:v>
      </x:c>
      <x:c r="E7" s="27" t="n">
        <x:v>97.16</x:v>
      </x:c>
      <x:c r="F7" s="26" t="str">
        <x:v>Author-reported entry correction; not a per-run recomputation.</x:v>
      </x:c>
    </x:row>
    <x:row r="8" ht="46" customHeight="1">
      <x:c r="A8" s="26" t="str">
        <x:v>2026-09-03</x:v>
      </x:c>
      <x:c r="B8" s="26" t="str">
        <x:v>Wide format!B8</x:v>
      </x:c>
      <x:c r="C8" s="26" t="str">
        <x:v>Qwen2.5-VL-32B-Instruct / Flat</x:v>
      </x:c>
      <x:c r="D8" s="27" t="n">
        <x:v>98.05</x:v>
      </x:c>
      <x:c r="E8" s="27" t="n">
        <x:v>98.04</x:v>
      </x:c>
      <x:c r="F8" s="26" t="str">
        <x:v>Author-reported entry correction; not a per-run recomputation.</x:v>
      </x:c>
    </x:row>
    <x:row r="9" ht="46" customHeight="1">
      <x:c r="A9" s="26" t="str">
        <x:v>2026-09-03</x:v>
      </x:c>
      <x:c r="B9" s="26" t="str">
        <x:v>Wide format!B9</x:v>
      </x:c>
      <x:c r="C9" s="26" t="str">
        <x:v>Qwen2.5-VL-MAX / Flat</x:v>
      </x:c>
      <x:c r="D9" s="27" t="n">
        <x:v>98.53</x:v>
      </x:c>
      <x:c r="E9" s="27" t="n">
        <x:v>98.52</x:v>
      </x:c>
      <x:c r="F9" s="26" t="str">
        <x:v>Author-reported entry correction; not a per-run recomputation.</x:v>
      </x:c>
    </x:row>
    <x:row r="10" ht="46" customHeight="1">
      <x:c r="A10" s="26" t="str">
        <x:v>2026-09-03</x:v>
      </x:c>
      <x:c r="B10" s="26" t="str">
        <x:v>Wide format!B10</x:v>
      </x:c>
      <x:c r="C10" s="26" t="str">
        <x:v>Qwen3-VL-2B-Instruct / Flat</x:v>
      </x:c>
      <x:c r="D10" s="27" t="n">
        <x:v>95.82</x:v>
      </x:c>
      <x:c r="E10" s="27" t="n">
        <x:v>95.8</x:v>
      </x:c>
      <x:c r="F10" s="26" t="str">
        <x:v>Author-reported entry correction; not a per-run recomputation.</x:v>
      </x:c>
    </x:row>
    <x:row r="11" ht="46" customHeight="1">
      <x:c r="A11" s="26" t="str">
        <x:v>2026-09-03</x:v>
      </x:c>
      <x:c r="B11" s="26" t="str">
        <x:v>Wide format!B11</x:v>
      </x:c>
      <x:c r="C11" s="26" t="str">
        <x:v>Qwen3-VL-8B-Instruct / Flat</x:v>
      </x:c>
      <x:c r="D11" s="27" t="n">
        <x:v>97.05</x:v>
      </x:c>
      <x:c r="E11" s="27" t="n">
        <x:v>97.04</x:v>
      </x:c>
      <x:c r="F11" s="26" t="str">
        <x:v>Author-reported entry correction; not a per-run recomputation.</x:v>
      </x:c>
    </x:row>
    <x:row r="12" ht="46" customHeight="1">
      <x:c r="A12" s="26" t="str">
        <x:v>2026-09-03</x:v>
      </x:c>
      <x:c r="B12" s="26" t="str">
        <x:v>Long format!C2</x:v>
      </x:c>
      <x:c r="C12" s="26" t="str">
        <x:v>Llama-3.2-11B-Vision-Instruct / Flat</x:v>
      </x:c>
      <x:c r="D12" s="27" t="n">
        <x:v>93.77</x:v>
      </x:c>
      <x:c r="E12" s="27" t="n">
        <x:v>93.76</x:v>
      </x:c>
      <x:c r="F12" s="26" t="str">
        <x:v>Author-reported entry correction; not a per-run recomputation.</x:v>
      </x:c>
    </x:row>
    <x:row r="13" ht="46" customHeight="1">
      <x:c r="A13" s="26" t="str">
        <x:v>2026-09-03</x:v>
      </x:c>
      <x:c r="B13" s="26" t="str">
        <x:v>Long format!C8</x:v>
      </x:c>
      <x:c r="C13" s="26" t="str">
        <x:v>Gemma-3-4B-IT / Flat</x:v>
      </x:c>
      <x:c r="D13" s="27" t="n">
        <x:v>93.89</x:v>
      </x:c>
      <x:c r="E13" s="27" t="n">
        <x:v>93.88</x:v>
      </x:c>
      <x:c r="F13" s="26" t="str">
        <x:v>Author-reported entry correction; not a per-run recomputation.</x:v>
      </x:c>
    </x:row>
    <x:row r="14" ht="46" customHeight="1">
      <x:c r="A14" s="26" t="str">
        <x:v>2026-09-03</x:v>
      </x:c>
      <x:c r="B14" s="26" t="str">
        <x:v>Long format!C14</x:v>
      </x:c>
      <x:c r="C14" s="26" t="str">
        <x:v>Gemma-4-E4B / Flat</x:v>
      </x:c>
      <x:c r="D14" s="27" t="n">
        <x:v>88.78</x:v>
      </x:c>
      <x:c r="E14" s="27" t="n">
        <x:v>88.76</x:v>
      </x:c>
      <x:c r="F14" s="26" t="str">
        <x:v>Author-reported entry correction; not a per-run recomputation.</x:v>
      </x:c>
    </x:row>
    <x:row r="15" ht="46" customHeight="1">
      <x:c r="A15" s="26" t="str">
        <x:v>2026-09-03</x:v>
      </x:c>
      <x:c r="B15" s="26" t="str">
        <x:v>Long format!C20</x:v>
      </x:c>
      <x:c r="C15" s="26" t="str">
        <x:v>DeepSeek-VL-7B-chat / Flat</x:v>
      </x:c>
      <x:c r="D15" s="27" t="n">
        <x:v>68.74</x:v>
      </x:c>
      <x:c r="E15" s="27" t="n">
        <x:v>68.72</x:v>
      </x:c>
      <x:c r="F15" s="26" t="str">
        <x:v>Author-reported entry correction; not a per-run recomputation.</x:v>
      </x:c>
    </x:row>
    <x:row r="16" ht="46" customHeight="1">
      <x:c r="A16" s="26" t="str">
        <x:v>2026-09-03</x:v>
      </x:c>
      <x:c r="B16" s="26" t="str">
        <x:v>Long format!C26</x:v>
      </x:c>
      <x:c r="C16" s="26" t="str">
        <x:v>Kimi-VL-A3B-Instruct / Flat</x:v>
      </x:c>
      <x:c r="D16" s="27" t="n">
        <x:v>94.29</x:v>
      </x:c>
      <x:c r="E16" s="27" t="n">
        <x:v>94.28</x:v>
      </x:c>
      <x:c r="F16" s="26" t="str">
        <x:v>Author-reported entry correction; not a per-run recomputation.</x:v>
      </x:c>
    </x:row>
    <x:row r="17" ht="46" customHeight="1">
      <x:c r="A17" s="26" t="str">
        <x:v>2026-09-03</x:v>
      </x:c>
      <x:c r="B17" s="26" t="str">
        <x:v>Long format!C32</x:v>
      </x:c>
      <x:c r="C17" s="26" t="str">
        <x:v>Qwen2.5-VL-7B-Instruct / Flat</x:v>
      </x:c>
      <x:c r="D17" s="27" t="n">
        <x:v>97.18</x:v>
      </x:c>
      <x:c r="E17" s="27" t="n">
        <x:v>97.16</x:v>
      </x:c>
      <x:c r="F17" s="26" t="str">
        <x:v>Author-reported entry correction; not a per-run recomputation.</x:v>
      </x:c>
    </x:row>
    <x:row r="18" ht="46" customHeight="1">
      <x:c r="A18" s="26" t="str">
        <x:v>2026-09-03</x:v>
      </x:c>
      <x:c r="B18" s="26" t="str">
        <x:v>Long format!C38</x:v>
      </x:c>
      <x:c r="C18" s="26" t="str">
        <x:v>Qwen2.5-VL-32B-Instruct / Flat</x:v>
      </x:c>
      <x:c r="D18" s="27" t="n">
        <x:v>98.05</x:v>
      </x:c>
      <x:c r="E18" s="27" t="n">
        <x:v>98.04</x:v>
      </x:c>
      <x:c r="F18" s="26" t="str">
        <x:v>Author-reported entry correction; not a per-run recomputation.</x:v>
      </x:c>
    </x:row>
    <x:row r="19" ht="46" customHeight="1">
      <x:c r="A19" s="26" t="str">
        <x:v>2026-09-03</x:v>
      </x:c>
      <x:c r="B19" s="26" t="str">
        <x:v>Long format!C44</x:v>
      </x:c>
      <x:c r="C19" s="26" t="str">
        <x:v>Qwen2.5-VL-MAX / Flat</x:v>
      </x:c>
      <x:c r="D19" s="27" t="n">
        <x:v>98.53</x:v>
      </x:c>
      <x:c r="E19" s="27" t="n">
        <x:v>98.52</x:v>
      </x:c>
      <x:c r="F19" s="26" t="str">
        <x:v>Author-reported entry correction; not a per-run recomputation.</x:v>
      </x:c>
    </x:row>
    <x:row r="20" ht="46" customHeight="1">
      <x:c r="A20" s="26" t="str">
        <x:v>2026-09-03</x:v>
      </x:c>
      <x:c r="B20" s="26" t="str">
        <x:v>Long format!C50</x:v>
      </x:c>
      <x:c r="C20" s="26" t="str">
        <x:v>Qwen3-VL-2B-Instruct / Flat</x:v>
      </x:c>
      <x:c r="D20" s="27" t="n">
        <x:v>95.82</x:v>
      </x:c>
      <x:c r="E20" s="27" t="n">
        <x:v>95.8</x:v>
      </x:c>
      <x:c r="F20" s="26" t="str">
        <x:v>Author-reported entry correction; not a per-run recomputation.</x:v>
      </x:c>
    </x:row>
    <x:row r="21" ht="46" customHeight="1">
      <x:c r="A21" s="26" t="str">
        <x:v>2026-09-03</x:v>
      </x:c>
      <x:c r="B21" s="26" t="str">
        <x:v>Long format!C56</x:v>
      </x:c>
      <x:c r="C21" s="26" t="str">
        <x:v>Qwen3-VL-8B-Instruct / Flat</x:v>
      </x:c>
      <x:c r="D21" s="27" t="n">
        <x:v>97.05</x:v>
      </x:c>
      <x:c r="E21" s="27" t="n">
        <x:v>97.04</x:v>
      </x:c>
      <x:c r="F21" s="26" t="str">
        <x:v>Author-reported entry correction; not a per-run recomputation.</x:v>
      </x:c>
    </x:row>
    <x:row r="22" ht="46" customHeight="1">
      <x:c r="A22" s="26"/>
      <x:c r="B22" s="26"/>
      <x:c r="C22" s="26"/>
      <x:c r="D22" s="26"/>
      <x:c r="E22" s="26"/>
      <x:c r="F22" s="26"/>
    </x:row>
    <x:row r="23" ht="46" customHeight="1">
      <x:c r="A23" s="26" t="str">
        <x:v>Scope</x:v>
      </x:c>
      <x:c r="B23" s="26" t="str">
        <x:v>N=10; 500 images × 5 runs</x:v>
      </x:c>
      <x:c r="C23" s="26" t="str">
        <x:v>Source backups and original SD retained.</x:v>
      </x:c>
      <x:c r="D23" s="26" t="str">
        <x:v>SD unchanged</x:v>
      </x:c>
      <x:c r="E23" s="26" t="str">
        <x:v>Other settings unchanged</x:v>
      </x:c>
      <x:c r="F23" s="26" t="str">
        <x:v>Four equidistant Flat values explicitly confirmed by the author.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51" hidden="0" customWidth="1"/>
    <x:col min="4" max="4" width="13" hidden="0" customWidth="1"/>
    <x:col min="5" max="5" width="13" hidden="0" customWidth="1"/>
    <x:col min="6" max="6" width="12" hidden="0" customWidth="1"/>
    <x:col min="7" max="7" width="59" hidden="0" customWidth="1"/>
    <x:col min="8" max="8" width="27" hidden="0" customWidth="1"/>
  </x:cols>
  <x:sheetData>
    <x:row r="1" ht="28" customHeight="1">
      <x:c r="A1" s="29" t="str">
        <x:v>Date</x:v>
      </x:c>
      <x:c r="B1" s="29" t="str">
        <x:v>Location</x:v>
      </x:c>
      <x:c r="C1" s="29" t="str">
        <x:v>Experimental setting</x:v>
      </x:c>
      <x:c r="D1" s="29" t="str">
        <x:v>Before (%)</x:v>
      </x:c>
      <x:c r="E1" s="29" t="str">
        <x:v>After (%)</x:v>
      </x:c>
      <x:c r="F1" s="29" t="str">
        <x:v>Step (pp)</x:v>
      </x:c>
      <x:c r="G1" s="29" t="str">
        <x:v>Basis</x:v>
      </x:c>
      <x:c r="H1" s="29" t="str">
        <x:v>Previous formula / input</x:v>
      </x:c>
    </x:row>
    <x:row r="2" ht="66" customHeight="1">
      <x:c r="A2" s="26" t="str">
        <x:v>2026-09-03</x:v>
      </x:c>
      <x:c r="B2" s="26" t="str">
        <x:v>Wide format!D3</x:v>
      </x:c>
      <x:c r="C2" s="26" t="str">
        <x:v>Gemma-3-4B-IT; Flat; ImageNet-1K; N=20; 1000 images x 5 runs</x:v>
      </x:c>
      <x:c r="D2" s="27" t="n">
        <x:v>90.09</x:v>
      </x:c>
      <x:c r="E2" s="27" t="n">
        <x:v>90.08</x:v>
      </x:c>
      <x:c r="F2" s="27" t="n">
        <x:v>0.02</x:v>
      </x:c>
      <x:c r="G2" s="26" t="str">
        <x:v>Author-requested nearest-grid entry correction; midpoint rounded down following prior author choices. No per-run recomputation.</x:v>
      </x:c>
      <x:c r="H2" s="26" t="str">
        <x:v>Static input</x:v>
      </x:c>
    </x:row>
    <x:row r="3" ht="66" customHeight="1">
      <x:c r="A3" s="26" t="str">
        <x:v>2026-09-03</x:v>
      </x:c>
      <x:c r="B3" s="26" t="str">
        <x:v>Wide format!D4</x:v>
      </x:c>
      <x:c r="C3" s="26" t="str">
        <x:v>Gemma-4-E4B; Flat; ImageNet-1K; N=20; 1000 images x 5 runs</x:v>
      </x:c>
      <x:c r="D3" s="27" t="n">
        <x:v>82.17</x:v>
      </x:c>
      <x:c r="E3" s="27" t="n">
        <x:v>82.16</x:v>
      </x:c>
      <x:c r="F3" s="27" t="n">
        <x:v>0.02</x:v>
      </x:c>
      <x:c r="G3" s="26" t="str">
        <x:v>Author-requested nearest-grid entry correction; midpoint rounded down following prior author choices. No per-run recomputation.</x:v>
      </x:c>
      <x:c r="H3" s="26" t="str">
        <x:v>Static input</x:v>
      </x:c>
    </x:row>
    <x:row r="4" ht="66" customHeight="1">
      <x:c r="A4" s="26" t="str">
        <x:v>2026-09-03</x:v>
      </x:c>
      <x:c r="B4" s="26" t="str">
        <x:v>Wide format!D6</x:v>
      </x:c>
      <x:c r="C4" s="26" t="str">
        <x:v>Kimi-VL-A3B-Instruct; Flat; ImageNet-1K; N=20; 1000 images x 5 runs</x:v>
      </x:c>
      <x:c r="D4" s="27" t="n">
        <x:v>87.71</x:v>
      </x:c>
      <x:c r="E4" s="27" t="n">
        <x:v>87.7</x:v>
      </x:c>
      <x:c r="F4" s="27" t="n">
        <x:v>0.02</x:v>
      </x:c>
      <x:c r="G4" s="26" t="str">
        <x:v>Author-requested nearest-grid entry correction; midpoint rounded down following prior author choices. No per-run recomputation.</x:v>
      </x:c>
      <x:c r="H4" s="26" t="str">
        <x:v>Static input</x:v>
      </x:c>
    </x:row>
    <x:row r="5" ht="66" customHeight="1">
      <x:c r="A5" s="26" t="str">
        <x:v>2026-09-03</x:v>
      </x:c>
      <x:c r="B5" s="26" t="str">
        <x:v>Wide format!D7</x:v>
      </x:c>
      <x:c r="C5" s="26" t="str">
        <x:v>Qwen2.5-VL-7B-Instruct; Flat; ImageNet-1K; N=20; 1000 images x 5 runs</x:v>
      </x:c>
      <x:c r="D5" s="27" t="n">
        <x:v>95.25</x:v>
      </x:c>
      <x:c r="E5" s="27" t="n">
        <x:v>95.24</x:v>
      </x:c>
      <x:c r="F5" s="27" t="n">
        <x:v>0.02</x:v>
      </x:c>
      <x:c r="G5" s="26" t="str">
        <x:v>Author-requested nearest-grid entry correction; midpoint rounded down following prior author choices. No per-run recomputation.</x:v>
      </x:c>
      <x:c r="H5" s="26" t="str">
        <x:v>Static input</x:v>
      </x:c>
    </x:row>
    <x:row r="6" ht="66" customHeight="1">
      <x:c r="A6" s="26" t="str">
        <x:v>2026-09-03</x:v>
      </x:c>
      <x:c r="B6" s="26" t="str">
        <x:v>Wide format!D8</x:v>
      </x:c>
      <x:c r="C6" s="26" t="str">
        <x:v>Qwen2.5-VL-32B-Instruct; Flat; ImageNet-1K; N=20; 1000 images x 5 runs</x:v>
      </x:c>
      <x:c r="D6" s="27" t="n">
        <x:v>97.25</x:v>
      </x:c>
      <x:c r="E6" s="27" t="n">
        <x:v>97.24</x:v>
      </x:c>
      <x:c r="F6" s="27" t="n">
        <x:v>0.02</x:v>
      </x:c>
      <x:c r="G6" s="26" t="str">
        <x:v>Author-requested nearest-grid entry correction; midpoint rounded down following prior author choices. No per-run recomputation.</x:v>
      </x:c>
      <x:c r="H6" s="26" t="str">
        <x:v>Static input</x:v>
      </x:c>
    </x:row>
    <x:row r="7" ht="66" customHeight="1">
      <x:c r="A7" s="26" t="str">
        <x:v>2026-09-03</x:v>
      </x:c>
      <x:c r="B7" s="26" t="str">
        <x:v>Wide format!D9</x:v>
      </x:c>
      <x:c r="C7" s="26" t="str">
        <x:v>Qwen2.5-VL-MAX; Flat; ImageNet-1K; N=20; 1000 images x 5 runs</x:v>
      </x:c>
      <x:c r="D7" s="27" t="n">
        <x:v>97.25</x:v>
      </x:c>
      <x:c r="E7" s="27" t="n">
        <x:v>97.24</x:v>
      </x:c>
      <x:c r="F7" s="27" t="n">
        <x:v>0.02</x:v>
      </x:c>
      <x:c r="G7" s="26" t="str">
        <x:v>Author-requested nearest-grid entry correction; midpoint rounded down following prior author choices. No per-run recomputation.</x:v>
      </x:c>
      <x:c r="H7" s="26" t="str">
        <x:v>Static input</x:v>
      </x:c>
    </x:row>
    <x:row r="8" ht="66" customHeight="1">
      <x:c r="A8" s="26" t="str">
        <x:v>2026-09-03</x:v>
      </x:c>
      <x:c r="B8" s="26" t="str">
        <x:v>Long format!C9</x:v>
      </x:c>
      <x:c r="C8" s="26" t="str">
        <x:v>Gemma-3-4B-IT; Flat; N=20 (long-format mirror)</x:v>
      </x:c>
      <x:c r="D8" s="27" t="n">
        <x:v>90.09</x:v>
      </x:c>
      <x:c r="E8" s="27" t="n">
        <x:v>90.08</x:v>
      </x:c>
      <x:c r="F8" s="27" t="n">
        <x:v>0.02</x:v>
      </x:c>
      <x:c r="G8" s="26" t="str">
        <x:v>Author-requested nearest-grid entry correction; midpoint rounded down following prior author choices. No per-run recomputation.</x:v>
      </x:c>
      <x:c r="H8" s="26" t="str">
        <x:v>Static input</x:v>
      </x:c>
    </x:row>
    <x:row r="9" ht="66" customHeight="1">
      <x:c r="A9" s="26" t="str">
        <x:v>2026-09-03</x:v>
      </x:c>
      <x:c r="B9" s="26" t="str">
        <x:v>Long format!C15</x:v>
      </x:c>
      <x:c r="C9" s="26" t="str">
        <x:v>Gemma-4-E4B; Flat; N=20 (long-format mirror)</x:v>
      </x:c>
      <x:c r="D9" s="27" t="n">
        <x:v>82.17</x:v>
      </x:c>
      <x:c r="E9" s="27" t="n">
        <x:v>82.16</x:v>
      </x:c>
      <x:c r="F9" s="27" t="n">
        <x:v>0.02</x:v>
      </x:c>
      <x:c r="G9" s="26" t="str">
        <x:v>Author-requested nearest-grid entry correction; midpoint rounded down following prior author choices. No per-run recomputation.</x:v>
      </x:c>
      <x:c r="H9" s="26" t="str">
        <x:v>Static input</x:v>
      </x:c>
    </x:row>
    <x:row r="10" ht="66" customHeight="1">
      <x:c r="A10" s="26" t="str">
        <x:v>2026-09-03</x:v>
      </x:c>
      <x:c r="B10" s="26" t="str">
        <x:v>Long format!C27</x:v>
      </x:c>
      <x:c r="C10" s="26" t="str">
        <x:v>Kimi-VL-A3B-Instruct; Flat; N=20 (long-format mirror)</x:v>
      </x:c>
      <x:c r="D10" s="27" t="n">
        <x:v>87.71</x:v>
      </x:c>
      <x:c r="E10" s="27" t="n">
        <x:v>87.7</x:v>
      </x:c>
      <x:c r="F10" s="27" t="n">
        <x:v>0.02</x:v>
      </x:c>
      <x:c r="G10" s="26" t="str">
        <x:v>Author-requested nearest-grid entry correction; midpoint rounded down following prior author choices. No per-run recomputation.</x:v>
      </x:c>
      <x:c r="H10" s="26" t="str">
        <x:v>Static input</x:v>
      </x:c>
    </x:row>
    <x:row r="11" ht="66" customHeight="1">
      <x:c r="A11" s="26" t="str">
        <x:v>2026-09-03</x:v>
      </x:c>
      <x:c r="B11" s="26" t="str">
        <x:v>Long format!C33</x:v>
      </x:c>
      <x:c r="C11" s="26" t="str">
        <x:v>Qwen2.5-VL-7B-Instruct; Flat; N=20 (long-format mirror)</x:v>
      </x:c>
      <x:c r="D11" s="27" t="n">
        <x:v>95.25</x:v>
      </x:c>
      <x:c r="E11" s="27" t="n">
        <x:v>95.24</x:v>
      </x:c>
      <x:c r="F11" s="27" t="n">
        <x:v>0.02</x:v>
      </x:c>
      <x:c r="G11" s="26" t="str">
        <x:v>Author-requested nearest-grid entry correction; midpoint rounded down following prior author choices. No per-run recomputation.</x:v>
      </x:c>
      <x:c r="H11" s="26" t="str">
        <x:v>Static input</x:v>
      </x:c>
    </x:row>
    <x:row r="12" ht="66" customHeight="1">
      <x:c r="A12" s="26" t="str">
        <x:v>2026-09-03</x:v>
      </x:c>
      <x:c r="B12" s="26" t="str">
        <x:v>Long format!C39</x:v>
      </x:c>
      <x:c r="C12" s="26" t="str">
        <x:v>Qwen2.5-VL-32B-Instruct; Flat; N=20 (long-format mirror)</x:v>
      </x:c>
      <x:c r="D12" s="27" t="n">
        <x:v>97.25</x:v>
      </x:c>
      <x:c r="E12" s="27" t="n">
        <x:v>97.24</x:v>
      </x:c>
      <x:c r="F12" s="27" t="n">
        <x:v>0.02</x:v>
      </x:c>
      <x:c r="G12" s="26" t="str">
        <x:v>Author-requested nearest-grid entry correction; midpoint rounded down following prior author choices. No per-run recomputation.</x:v>
      </x:c>
      <x:c r="H12" s="26" t="str">
        <x:v>Static input</x:v>
      </x:c>
    </x:row>
    <x:row r="13" ht="66" customHeight="1">
      <x:c r="A13" s="26" t="str">
        <x:v>2026-09-03</x:v>
      </x:c>
      <x:c r="B13" s="26" t="str">
        <x:v>Long format!C45</x:v>
      </x:c>
      <x:c r="C13" s="26" t="str">
        <x:v>Qwen2.5-VL-MAX; Flat; N=20 (long-format mirror)</x:v>
      </x:c>
      <x:c r="D13" s="27" t="n">
        <x:v>97.25</x:v>
      </x:c>
      <x:c r="E13" s="27" t="n">
        <x:v>97.24</x:v>
      </x:c>
      <x:c r="F13" s="27" t="n">
        <x:v>0.02</x:v>
      </x:c>
      <x:c r="G13" s="26" t="str">
        <x:v>Author-requested nearest-grid entry correction; midpoint rounded down following prior author choices. No per-run recomputation.</x:v>
      </x:c>
      <x:c r="H13" s="26" t="str">
        <x:v>Static input</x:v>
      </x:c>
    </x:row>
    <x:row r="14" ht="66" customHeight="1">
      <x:c r="A14" s="26"/>
      <x:c r="B14" s="26"/>
      <x:c r="C14" s="26"/>
      <x:c r="D14" s="26"/>
      <x:c r="E14" s="26"/>
      <x:c r="F14" s="26"/>
      <x:c r="G14" s="26"/>
      <x:c r="H14" s="26"/>
    </x:row>
    <x:row r="15" ht="66" customHeight="1">
      <x:c r="A15" s="26" t="str">
        <x:v>Scope</x:v>
      </x:c>
      <x:c r="B15" s="26" t="str">
        <x:v>Entry / derived-value corrections</x:v>
      </x:c>
      <x:c r="C15" s="26" t="str">
        <x:v>SD, latency, costs, and historical Raw Data unchanged.</x:v>
      </x:c>
      <x:c r="D15" s="26"/>
      <x:c r="E15" s="26"/>
      <x:c r="F15" s="26"/>
      <x:c r="G15" s="26" t="str">
        <x:v>Original files backed up; no original five-run counts were available. Midpoint rule is a processing convention, not new experimental verification.</x:v>
      </x:c>
      <x:c r="H15" s="26" t="str">
        <x:v>Previous N10 Corrections and Confirmation Log sheets preserved.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17" hidden="0" customWidth="1"/>
    <x:col min="4" max="4" width="25" hidden="0" customWidth="1"/>
    <x:col min="5" max="5" width="17" hidden="0" customWidth="1"/>
    <x:col min="6" max="6" width="48" hidden="0" customWidth="1"/>
  </x:cols>
  <x:sheetData>
    <x:row r="1" ht="30" customHeight="1">
      <x:c r="A1" s="31" t="str">
        <x:v>SD reporting authority — author confirmed 2026-09-03</x:v>
      </x:c>
      <x:c r="B1" s="31"/>
      <x:c r="C1" s="31"/>
      <x:c r="D1" s="31"/>
      <x:c r="E1" s="31"/>
      <x:c r="F1" s="31"/>
    </x:row>
    <x:row r="2" ht="25" customHeight="1">
      <x:c r="A2" s="26" t="str">
        <x:v>Use the SD values already reported in the manuscript (Wide format). Historical source entries are retained for provenance. This confirms the reporting version; SDs are not recomputed or converted.</x:v>
      </x:c>
      <x:c r="B2" s="26"/>
      <x:c r="C2" s="26"/>
      <x:c r="D2" s="26"/>
      <x:c r="E2" s="26"/>
      <x:c r="F2" s="26"/>
    </x:row>
    <x:row r="3" ht="25" customHeight="1">
      <x:c r="A3" s="26"/>
      <x:c r="B3" s="26"/>
      <x:c r="C3" s="26"/>
      <x:c r="D3" s="26"/>
      <x:c r="E3" s="26"/>
      <x:c r="F3" s="26"/>
    </x:row>
    <x:row r="4" ht="36" customHeight="1">
      <x:c r="A4" s="34" t="str">
        <x:v>Setting / scope</x:v>
      </x:c>
      <x:c r="B4" s="34" t="str">
        <x:v>Historical cell</x:v>
      </x:c>
      <x:c r="C4" s="34" t="str">
        <x:v>Historical SD</x:v>
      </x:c>
      <x:c r="D4" s="34" t="str">
        <x:v>Current authority cell</x:v>
      </x:c>
      <x:c r="E4" s="34" t="str">
        <x:v>Selected SD</x:v>
      </x:c>
      <x:c r="F4" s="34" t="str">
        <x:v>Status / provenance</x:v>
      </x:c>
    </x:row>
    <x:row r="5" ht="44" customHeight="1">
      <x:c r="A5" s="26" t="str">
        <x:v>Scaling old long sheet</x:v>
      </x:c>
      <x:c r="B5" s="26" t="str">
        <x:v>Long format!D2</x:v>
      </x:c>
      <x:c r="C5" s="27"/>
      <x:c r="D5" s="26" t="str">
        <x:v>Wide format!C2</x:v>
      </x:c>
      <x:c r="E5" s="27" t="n">
        <x:f>'Wide format'!C2</x:f>
        <x:v>1.13</x:v>
      </x:c>
      <x:c r="F5" s="26" t="str">
        <x:v>Previously absent in historical long table; selected from manuscript.</x:v>
      </x:c>
    </x:row>
    <x:row r="6" ht="44" customHeight="1">
      <x:c r="A6" s="26" t="str">
        <x:v>Scaling old long sheet</x:v>
      </x:c>
      <x:c r="B6" s="26" t="str">
        <x:v>Long format!D3</x:v>
      </x:c>
      <x:c r="C6" s="27"/>
      <x:c r="D6" s="26" t="str">
        <x:v>Wide format!E2</x:v>
      </x:c>
      <x:c r="E6" s="27" t="n">
        <x:f>'Wide format'!E2</x:f>
        <x:v>1.65</x:v>
      </x:c>
      <x:c r="F6" s="26" t="str">
        <x:v>Previously absent in historical long table; selected from manuscript.</x:v>
      </x:c>
    </x:row>
    <x:row r="7" ht="44" customHeight="1">
      <x:c r="A7" s="26" t="str">
        <x:v>Scaling old long sheet</x:v>
      </x:c>
      <x:c r="B7" s="26" t="str">
        <x:v>Long format!D4</x:v>
      </x:c>
      <x:c r="C7" s="27"/>
      <x:c r="D7" s="26" t="str">
        <x:v>Wide format!G2</x:v>
      </x:c>
      <x:c r="E7" s="27" t="n">
        <x:f>'Wide format'!G2</x:f>
        <x:v>0.98</x:v>
      </x:c>
      <x:c r="F7" s="26" t="str">
        <x:v>Previously absent in historical long table; selected from manuscript.</x:v>
      </x:c>
    </x:row>
    <x:row r="8" ht="44" customHeight="1">
      <x:c r="A8" s="26" t="str">
        <x:v>Scaling old long sheet</x:v>
      </x:c>
      <x:c r="B8" s="26" t="str">
        <x:v>Long format!D5</x:v>
      </x:c>
      <x:c r="C8" s="27"/>
      <x:c r="D8" s="26" t="str">
        <x:v>Wide format!I2</x:v>
      </x:c>
      <x:c r="E8" s="27" t="n">
        <x:f>'Wide format'!I2</x:f>
        <x:v>0.46</x:v>
      </x:c>
      <x:c r="F8" s="26" t="str">
        <x:v>Previously absent in historical long table; selected from manuscript.</x:v>
      </x:c>
    </x:row>
    <x:row r="9" ht="44" customHeight="1">
      <x:c r="A9" s="26" t="str">
        <x:v>Scaling old long sheet</x:v>
      </x:c>
      <x:c r="B9" s="26" t="str">
        <x:v>Long format!D6</x:v>
      </x:c>
      <x:c r="C9" s="27"/>
      <x:c r="D9" s="26" t="str">
        <x:v>Wide format!K2</x:v>
      </x:c>
      <x:c r="E9" s="27" t="n">
        <x:f>'Wide format'!K2</x:f>
        <x:v>0.24</x:v>
      </x:c>
      <x:c r="F9" s="26" t="str">
        <x:v>Previously absent in historical long table; selected from manuscript.</x:v>
      </x:c>
    </x:row>
    <x:row r="10" ht="44" customHeight="1">
      <x:c r="A10" s="26" t="str">
        <x:v>Scaling old long sheet</x:v>
      </x:c>
      <x:c r="B10" s="26" t="str">
        <x:v>Long format!D7</x:v>
      </x:c>
      <x:c r="C10" s="27"/>
      <x:c r="D10" s="26" t="str">
        <x:v>Wide format!M2</x:v>
      </x:c>
      <x:c r="E10" s="27" t="n">
        <x:f>'Wide format'!M2</x:f>
        <x:v>0.04</x:v>
      </x:c>
      <x:c r="F10" s="26" t="str">
        <x:v>Previously absent in historical long table; selected from manuscript.</x:v>
      </x:c>
    </x:row>
    <x:row r="11" ht="44" customHeight="1">
      <x:c r="A11" s="26" t="str">
        <x:v>Scaling old long sheet</x:v>
      </x:c>
      <x:c r="B11" s="26" t="str">
        <x:v>Long format!D8</x:v>
      </x:c>
      <x:c r="C11" s="27"/>
      <x:c r="D11" s="26" t="str">
        <x:v>Wide format!C3</x:v>
      </x:c>
      <x:c r="E11" s="27" t="n">
        <x:f>'Wide format'!C3</x:f>
        <x:v>1.66</x:v>
      </x:c>
      <x:c r="F11" s="26" t="str">
        <x:v>Previously absent in historical long table; selected from manuscript.</x:v>
      </x:c>
    </x:row>
    <x:row r="12" ht="44" customHeight="1">
      <x:c r="A12" s="26" t="str">
        <x:v>Scaling old long sheet</x:v>
      </x:c>
      <x:c r="B12" s="26" t="str">
        <x:v>Long format!D9</x:v>
      </x:c>
      <x:c r="C12" s="27"/>
      <x:c r="D12" s="26" t="str">
        <x:v>Wide format!E3</x:v>
      </x:c>
      <x:c r="E12" s="27" t="n">
        <x:f>'Wide format'!E3</x:f>
        <x:v>2.14</x:v>
      </x:c>
      <x:c r="F12" s="26" t="str">
        <x:v>Previously absent in historical long table; selected from manuscript.</x:v>
      </x:c>
    </x:row>
    <x:row r="13" ht="44" customHeight="1">
      <x:c r="A13" s="26" t="str">
        <x:v>Scaling old long sheet</x:v>
      </x:c>
      <x:c r="B13" s="26" t="str">
        <x:v>Long format!D10</x:v>
      </x:c>
      <x:c r="C13" s="27"/>
      <x:c r="D13" s="26" t="str">
        <x:v>Wide format!G3</x:v>
      </x:c>
      <x:c r="E13" s="27" t="n">
        <x:f>'Wide format'!G3</x:f>
        <x:v>0.55</x:v>
      </x:c>
      <x:c r="F13" s="26" t="str">
        <x:v>Previously absent in historical long table; selected from manuscript.</x:v>
      </x:c>
    </x:row>
    <x:row r="14" ht="44" customHeight="1">
      <x:c r="A14" s="26" t="str">
        <x:v>Scaling old long sheet</x:v>
      </x:c>
      <x:c r="B14" s="26" t="str">
        <x:v>Long format!D11</x:v>
      </x:c>
      <x:c r="C14" s="27"/>
      <x:c r="D14" s="26" t="str">
        <x:v>Wide format!I3</x:v>
      </x:c>
      <x:c r="E14" s="27" t="n">
        <x:f>'Wide format'!I3</x:f>
        <x:v>1.75</x:v>
      </x:c>
      <x:c r="F14" s="26" t="str">
        <x:v>Previously absent in historical long table; selected from manuscript.</x:v>
      </x:c>
    </x:row>
    <x:row r="15" ht="44" customHeight="1">
      <x:c r="A15" s="26" t="str">
        <x:v>Scaling old long sheet</x:v>
      </x:c>
      <x:c r="B15" s="26" t="str">
        <x:v>Long format!D12</x:v>
      </x:c>
      <x:c r="C15" s="27"/>
      <x:c r="D15" s="26" t="str">
        <x:v>Wide format!K3</x:v>
      </x:c>
      <x:c r="E15" s="27" t="n">
        <x:f>'Wide format'!K3</x:f>
        <x:v>0.64</x:v>
      </x:c>
      <x:c r="F15" s="26" t="str">
        <x:v>Previously absent in historical long table; selected from manuscript.</x:v>
      </x:c>
    </x:row>
    <x:row r="16" ht="44" customHeight="1">
      <x:c r="A16" s="26" t="str">
        <x:v>Scaling old long sheet</x:v>
      </x:c>
      <x:c r="B16" s="26" t="str">
        <x:v>Long format!D13</x:v>
      </x:c>
      <x:c r="C16" s="27"/>
      <x:c r="D16" s="26" t="str">
        <x:v>Wide format!M3</x:v>
      </x:c>
      <x:c r="E16" s="27" t="n">
        <x:f>'Wide format'!M3</x:f>
        <x:v>0.95</x:v>
      </x:c>
      <x:c r="F16" s="26" t="str">
        <x:v>Previously absent in historical long table; selected from manuscript.</x:v>
      </x:c>
    </x:row>
    <x:row r="17" ht="44" customHeight="1">
      <x:c r="A17" s="26" t="str">
        <x:v>Scaling old long sheet</x:v>
      </x:c>
      <x:c r="B17" s="26" t="str">
        <x:v>Long format!D38</x:v>
      </x:c>
      <x:c r="C17" s="27"/>
      <x:c r="D17" s="26" t="str">
        <x:v>Wide format!C8</x:v>
      </x:c>
      <x:c r="E17" s="27" t="n">
        <x:f>'Wide format'!C8</x:f>
        <x:v>1.94</x:v>
      </x:c>
      <x:c r="F17" s="26" t="str">
        <x:v>Previously absent in historical long table; selected from manuscript.</x:v>
      </x:c>
    </x:row>
    <x:row r="18" ht="44" customHeight="1">
      <x:c r="A18" s="26" t="str">
        <x:v>Scaling old long sheet</x:v>
      </x:c>
      <x:c r="B18" s="26" t="str">
        <x:v>Long format!D39</x:v>
      </x:c>
      <x:c r="C18" s="27"/>
      <x:c r="D18" s="26" t="str">
        <x:v>Wide format!E8</x:v>
      </x:c>
      <x:c r="E18" s="27" t="n">
        <x:f>'Wide format'!E8</x:f>
        <x:v>1.55</x:v>
      </x:c>
      <x:c r="F18" s="26" t="str">
        <x:v>Previously absent in historical long table; selected from manuscript.</x:v>
      </x:c>
    </x:row>
    <x:row r="19" ht="44" customHeight="1">
      <x:c r="A19" s="26" t="str">
        <x:v>Scaling old long sheet</x:v>
      </x:c>
      <x:c r="B19" s="26" t="str">
        <x:v>Long format!D40</x:v>
      </x:c>
      <x:c r="C19" s="27"/>
      <x:c r="D19" s="26" t="str">
        <x:v>Wide format!G8</x:v>
      </x:c>
      <x:c r="E19" s="27" t="n">
        <x:f>'Wide format'!G8</x:f>
        <x:v>1.65</x:v>
      </x:c>
      <x:c r="F19" s="26" t="str">
        <x:v>Previously absent in historical long table; selected from manuscript.</x:v>
      </x:c>
    </x:row>
    <x:row r="20" ht="44" customHeight="1">
      <x:c r="A20" s="26" t="str">
        <x:v>Scaling old long sheet</x:v>
      </x:c>
      <x:c r="B20" s="26" t="str">
        <x:v>Long format!D41</x:v>
      </x:c>
      <x:c r="C20" s="27"/>
      <x:c r="D20" s="26" t="str">
        <x:v>Wide format!I8</x:v>
      </x:c>
      <x:c r="E20" s="27" t="n">
        <x:f>'Wide format'!I8</x:f>
        <x:v>1.35</x:v>
      </x:c>
      <x:c r="F20" s="26" t="str">
        <x:v>Previously absent in historical long table; selected from manuscript.</x:v>
      </x:c>
    </x:row>
    <x:row r="21" ht="44" customHeight="1">
      <x:c r="A21" s="26" t="str">
        <x:v>Scaling old long sheet</x:v>
      </x:c>
      <x:c r="B21" s="26" t="str">
        <x:v>Long format!D42</x:v>
      </x:c>
      <x:c r="C21" s="27"/>
      <x:c r="D21" s="26" t="str">
        <x:v>Wide format!K8</x:v>
      </x:c>
      <x:c r="E21" s="27" t="n">
        <x:f>'Wide format'!K8</x:f>
        <x:v>1.76</x:v>
      </x:c>
      <x:c r="F21" s="26" t="str">
        <x:v>Previously absent in historical long table; selected from manuscript.</x:v>
      </x:c>
    </x:row>
    <x:row r="22" ht="44" customHeight="1">
      <x:c r="A22" s="26" t="str">
        <x:v>Scaling old long sheet</x:v>
      </x:c>
      <x:c r="B22" s="26" t="str">
        <x:v>Long format!D43</x:v>
      </x:c>
      <x:c r="C22" s="27"/>
      <x:c r="D22" s="26" t="str">
        <x:v>Wide format!M8</x:v>
      </x:c>
      <x:c r="E22" s="27" t="n">
        <x:f>'Wide format'!M8</x:f>
        <x:v>0.69</x:v>
      </x:c>
      <x:c r="F22" s="26" t="str">
        <x:v>Previously absent in historical long table; selected from manuscript.</x:v>
      </x:c>
    </x:row>
    <x:row r="23" ht="44" customHeight="1">
      <x:c r="A23" s="26" t="str">
        <x:v>Scaling old long sheet</x:v>
      </x:c>
      <x:c r="B23" s="26" t="str">
        <x:v>Long format!D44</x:v>
      </x:c>
      <x:c r="C23" s="27"/>
      <x:c r="D23" s="26" t="str">
        <x:v>Wide format!C9</x:v>
      </x:c>
      <x:c r="E23" s="27" t="n">
        <x:f>'Wide format'!C9</x:f>
        <x:v>1.63</x:v>
      </x:c>
      <x:c r="F23" s="26" t="str">
        <x:v>Previously absent in historical long table; selected from manuscript.</x:v>
      </x:c>
    </x:row>
    <x:row r="24" ht="44" customHeight="1">
      <x:c r="A24" s="26" t="str">
        <x:v>Scaling old long sheet</x:v>
      </x:c>
      <x:c r="B24" s="26" t="str">
        <x:v>Long format!D45</x:v>
      </x:c>
      <x:c r="C24" s="27"/>
      <x:c r="D24" s="26" t="str">
        <x:v>Wide format!E9</x:v>
      </x:c>
      <x:c r="E24" s="27" t="n">
        <x:f>'Wide format'!E9</x:f>
        <x:v>1.39</x:v>
      </x:c>
      <x:c r="F24" s="26" t="str">
        <x:v>Previously absent in historical long table; selected from manuscript.</x:v>
      </x:c>
    </x:row>
    <x:row r="25" ht="44" customHeight="1">
      <x:c r="A25" s="26" t="str">
        <x:v>Scaling old long sheet</x:v>
      </x:c>
      <x:c r="B25" s="26" t="str">
        <x:v>Long format!D46</x:v>
      </x:c>
      <x:c r="C25" s="27"/>
      <x:c r="D25" s="26" t="str">
        <x:v>Wide format!G9</x:v>
      </x:c>
      <x:c r="E25" s="27" t="n">
        <x:f>'Wide format'!G9</x:f>
        <x:v>1.32</x:v>
      </x:c>
      <x:c r="F25" s="26" t="str">
        <x:v>Previously absent in historical long table; selected from manuscript.</x:v>
      </x:c>
    </x:row>
    <x:row r="26" ht="44" customHeight="1">
      <x:c r="A26" s="26" t="str">
        <x:v>Scaling old long sheet</x:v>
      </x:c>
      <x:c r="B26" s="26" t="str">
        <x:v>Long format!D47</x:v>
      </x:c>
      <x:c r="C26" s="27"/>
      <x:c r="D26" s="26" t="str">
        <x:v>Wide format!I9</x:v>
      </x:c>
      <x:c r="E26" s="27" t="n">
        <x:f>'Wide format'!I9</x:f>
        <x:v>1.65</x:v>
      </x:c>
      <x:c r="F26" s="26" t="str">
        <x:v>Previously absent in historical long table; selected from manuscript.</x:v>
      </x:c>
    </x:row>
    <x:row r="27" ht="44" customHeight="1">
      <x:c r="A27" s="26" t="str">
        <x:v>Scaling old long sheet</x:v>
      </x:c>
      <x:c r="B27" s="26" t="str">
        <x:v>Long format!D48</x:v>
      </x:c>
      <x:c r="C27" s="27"/>
      <x:c r="D27" s="26" t="str">
        <x:v>Wide format!K9</x:v>
      </x:c>
      <x:c r="E27" s="27" t="n">
        <x:f>'Wide format'!K9</x:f>
        <x:v>1.53</x:v>
      </x:c>
      <x:c r="F27" s="26" t="str">
        <x:v>Previously absent in historical long table; selected from manuscript.</x:v>
      </x:c>
    </x:row>
    <x:row r="28" ht="44" customHeight="1">
      <x:c r="A28" s="26" t="str">
        <x:v>Scaling old long sheet</x:v>
      </x:c>
      <x:c r="B28" s="26" t="str">
        <x:v>Long format!D49</x:v>
      </x:c>
      <x:c r="C28" s="27"/>
      <x:c r="D28" s="26" t="str">
        <x:v>Wide format!M9</x:v>
      </x:c>
      <x:c r="E28" s="27" t="n">
        <x:f>'Wide format'!M9</x:f>
        <x:v>0.98</x:v>
      </x:c>
      <x:c r="F28" s="26" t="str">
        <x:v>Previously absent in historical long table; selected from manuscript.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8" hidden="0" customWidth="1"/>
    <x:col min="4" max="4" width="18" hidden="0" customWidth="1"/>
  </x:cols>
  <x:sheetData>
    <x:row r="1" ht="30" customHeight="1">
      <x:c r="A1" s="31" t="str">
        <x:v>Model</x:v>
      </x:c>
      <x:c r="B1" s="31" t="str">
        <x:v>Candidate classes N</x:v>
      </x:c>
      <x:c r="C1" s="31" t="str">
        <x:v>Mean (%)</x:v>
      </x:c>
      <x:c r="D1" s="31" t="str">
        <x:v>SD (pp)</x:v>
      </x:c>
    </x:row>
    <x:row r="2" ht="25" customHeight="1">
      <x:c r="A2" s="23" t="str">
        <x:f>'Wide format'!A2</x:f>
        <x:v>LLaMA3.2-11B-Vision</x:v>
      </x:c>
      <x:c r="B2" s="23" t="n">
        <x:v>10</x:v>
      </x:c>
      <x:c r="C2" s="36" t="n">
        <x:f>'Wide format'!B2</x:f>
        <x:v>93.76</x:v>
      </x:c>
      <x:c r="D2" s="36" t="n">
        <x:f>'Wide format'!C2</x:f>
        <x:v>1.13</x:v>
      </x:c>
    </x:row>
    <x:row r="3" ht="25" customHeight="1">
      <x:c r="A3" s="23" t="str">
        <x:f>'Wide format'!A2</x:f>
        <x:v>LLaMA3.2-11B-Vision</x:v>
      </x:c>
      <x:c r="B3" s="23" t="n">
        <x:v>20</x:v>
      </x:c>
      <x:c r="C3" s="36" t="n">
        <x:f>'Wide format'!D2</x:f>
        <x:v>88.6</x:v>
      </x:c>
      <x:c r="D3" s="36" t="n">
        <x:f>'Wide format'!E2</x:f>
        <x:v>1.65</x:v>
      </x:c>
    </x:row>
    <x:row r="4" ht="25" customHeight="1">
      <x:c r="A4" s="23" t="str">
        <x:f>'Wide format'!A2</x:f>
        <x:v>LLaMA3.2-11B-Vision</x:v>
      </x:c>
      <x:c r="B4" s="23" t="n">
        <x:v>100</x:v>
      </x:c>
      <x:c r="C4" s="36" t="n">
        <x:f>'Wide format'!F2</x:f>
        <x:v>55.54</x:v>
      </x:c>
      <x:c r="D4" s="36" t="n">
        <x:f>'Wide format'!G2</x:f>
        <x:v>0.98</x:v>
      </x:c>
    </x:row>
    <x:row r="5" ht="25" customHeight="1">
      <x:c r="A5" s="23" t="str">
        <x:f>'Wide format'!A2</x:f>
        <x:v>LLaMA3.2-11B-Vision</x:v>
      </x:c>
      <x:c r="B5" s="23" t="n">
        <x:v>200</x:v>
      </x:c>
      <x:c r="C5" s="36" t="n">
        <x:f>'Wide format'!H2</x:f>
        <x:v>15.7</x:v>
      </x:c>
      <x:c r="D5" s="36" t="n">
        <x:f>'Wide format'!I2</x:f>
        <x:v>0.46</x:v>
      </x:c>
    </x:row>
    <x:row r="6" ht="25" customHeight="1">
      <x:c r="A6" s="23" t="str">
        <x:f>'Wide format'!A2</x:f>
        <x:v>LLaMA3.2-11B-Vision</x:v>
      </x:c>
      <x:c r="B6" s="23" t="n">
        <x:v>500</x:v>
      </x:c>
      <x:c r="C6" s="36" t="n">
        <x:f>'Wide format'!J2</x:f>
        <x:v>10.44</x:v>
      </x:c>
      <x:c r="D6" s="36" t="n">
        <x:f>'Wide format'!K2</x:f>
        <x:v>0.24</x:v>
      </x:c>
    </x:row>
    <x:row r="7" ht="25" customHeight="1">
      <x:c r="A7" s="23" t="str">
        <x:f>'Wide format'!A2</x:f>
        <x:v>LLaMA3.2-11B-Vision</x:v>
      </x:c>
      <x:c r="B7" s="23" t="n">
        <x:v>1000</x:v>
      </x:c>
      <x:c r="C7" s="36" t="n">
        <x:f>'Wide format'!L2</x:f>
        <x:v>1.68</x:v>
      </x:c>
      <x:c r="D7" s="36" t="n">
        <x:f>'Wide format'!M2</x:f>
        <x:v>0.04</x:v>
      </x:c>
    </x:row>
    <x:row r="8" ht="25" customHeight="1">
      <x:c r="A8" s="23" t="str">
        <x:f>'Wide format'!A3</x:f>
        <x:v>Gemma3-4B</x:v>
      </x:c>
      <x:c r="B8" s="23" t="n">
        <x:v>10</x:v>
      </x:c>
      <x:c r="C8" s="36" t="n">
        <x:f>'Wide format'!B3</x:f>
        <x:v>93.88</x:v>
      </x:c>
      <x:c r="D8" s="36" t="n">
        <x:f>'Wide format'!C3</x:f>
        <x:v>1.66</x:v>
      </x:c>
    </x:row>
    <x:row r="9" ht="25" customHeight="1">
      <x:c r="A9" s="23" t="str">
        <x:f>'Wide format'!A3</x:f>
        <x:v>Gemma3-4B</x:v>
      </x:c>
      <x:c r="B9" s="23" t="n">
        <x:v>20</x:v>
      </x:c>
      <x:c r="C9" s="36" t="n">
        <x:f>'Wide format'!D3</x:f>
        <x:v>90.08</x:v>
      </x:c>
      <x:c r="D9" s="36" t="n">
        <x:f>'Wide format'!E3</x:f>
        <x:v>2.14</x:v>
      </x:c>
    </x:row>
    <x:row r="10" ht="25" customHeight="1">
      <x:c r="A10" s="23" t="str">
        <x:f>'Wide format'!A3</x:f>
        <x:v>Gemma3-4B</x:v>
      </x:c>
      <x:c r="B10" s="23" t="n">
        <x:v>100</x:v>
      </x:c>
      <x:c r="C10" s="36" t="n">
        <x:f>'Wide format'!F3</x:f>
        <x:v>55.22</x:v>
      </x:c>
      <x:c r="D10" s="36" t="n">
        <x:f>'Wide format'!G3</x:f>
        <x:v>0.55</x:v>
      </x:c>
    </x:row>
    <x:row r="11" ht="25" customHeight="1">
      <x:c r="A11" s="23" t="str">
        <x:f>'Wide format'!A3</x:f>
        <x:v>Gemma3-4B</x:v>
      </x:c>
      <x:c r="B11" s="23" t="n">
        <x:v>200</x:v>
      </x:c>
      <x:c r="C11" s="36" t="n">
        <x:f>'Wide format'!H3</x:f>
        <x:v>41.53</x:v>
      </x:c>
      <x:c r="D11" s="36" t="n">
        <x:f>'Wide format'!I3</x:f>
        <x:v>1.75</x:v>
      </x:c>
    </x:row>
    <x:row r="12" ht="25" customHeight="1">
      <x:c r="A12" s="23" t="str">
        <x:f>'Wide format'!A3</x:f>
        <x:v>Gemma3-4B</x:v>
      </x:c>
      <x:c r="B12" s="23" t="n">
        <x:v>500</x:v>
      </x:c>
      <x:c r="C12" s="36" t="n">
        <x:f>'Wide format'!J3</x:f>
        <x:v>26.72</x:v>
      </x:c>
      <x:c r="D12" s="36" t="n">
        <x:f>'Wide format'!K3</x:f>
        <x:v>0.64</x:v>
      </x:c>
    </x:row>
    <x:row r="13" ht="25" customHeight="1">
      <x:c r="A13" s="23" t="str">
        <x:f>'Wide format'!A3</x:f>
        <x:v>Gemma3-4B</x:v>
      </x:c>
      <x:c r="B13" s="23" t="n">
        <x:v>1000</x:v>
      </x:c>
      <x:c r="C13" s="36" t="n">
        <x:f>'Wide format'!L3</x:f>
        <x:v>25.47</x:v>
      </x:c>
      <x:c r="D13" s="36" t="n">
        <x:f>'Wide format'!M3</x:f>
        <x:v>0.95</x:v>
      </x:c>
    </x:row>
    <x:row r="14" ht="25" customHeight="1">
      <x:c r="A14" s="23" t="str">
        <x:f>'Wide format'!A4</x:f>
        <x:v>Gemma4-E4B</x:v>
      </x:c>
      <x:c r="B14" s="23" t="n">
        <x:v>10</x:v>
      </x:c>
      <x:c r="C14" s="36" t="n">
        <x:f>'Wide format'!B4</x:f>
        <x:v>88.76</x:v>
      </x:c>
      <x:c r="D14" s="36" t="n">
        <x:f>'Wide format'!C4</x:f>
        <x:v>1.95</x:v>
      </x:c>
    </x:row>
    <x:row r="15" ht="25" customHeight="1">
      <x:c r="A15" s="23" t="str">
        <x:f>'Wide format'!A4</x:f>
        <x:v>Gemma4-E4B</x:v>
      </x:c>
      <x:c r="B15" s="23" t="n">
        <x:v>20</x:v>
      </x:c>
      <x:c r="C15" s="36" t="n">
        <x:f>'Wide format'!D4</x:f>
        <x:v>82.16</x:v>
      </x:c>
      <x:c r="D15" s="36" t="n">
        <x:f>'Wide format'!E4</x:f>
        <x:v>1.51</x:v>
      </x:c>
    </x:row>
    <x:row r="16" ht="25" customHeight="1">
      <x:c r="A16" s="23" t="str">
        <x:f>'Wide format'!A4</x:f>
        <x:v>Gemma4-E4B</x:v>
      </x:c>
      <x:c r="B16" s="23" t="n">
        <x:v>100</x:v>
      </x:c>
      <x:c r="C16" s="36" t="n">
        <x:f>'Wide format'!F4</x:f>
        <x:v>68.64</x:v>
      </x:c>
      <x:c r="D16" s="36" t="n">
        <x:f>'Wide format'!G4</x:f>
        <x:v>1.12</x:v>
      </x:c>
    </x:row>
    <x:row r="17" ht="25" customHeight="1">
      <x:c r="A17" s="23" t="str">
        <x:f>'Wide format'!A4</x:f>
        <x:v>Gemma4-E4B</x:v>
      </x:c>
      <x:c r="B17" s="23" t="n">
        <x:v>200</x:v>
      </x:c>
      <x:c r="C17" s="36" t="n">
        <x:f>'Wide format'!H4</x:f>
        <x:v>58.62</x:v>
      </x:c>
      <x:c r="D17" s="36" t="n">
        <x:f>'Wide format'!I4</x:f>
        <x:v>0.8</x:v>
      </x:c>
    </x:row>
    <x:row r="18" ht="25" customHeight="1">
      <x:c r="A18" s="23" t="str">
        <x:f>'Wide format'!A4</x:f>
        <x:v>Gemma4-E4B</x:v>
      </x:c>
      <x:c r="B18" s="23" t="n">
        <x:v>500</x:v>
      </x:c>
      <x:c r="C18" s="36" t="n">
        <x:f>'Wide format'!J4</x:f>
        <x:v>41.88</x:v>
      </x:c>
      <x:c r="D18" s="36" t="n">
        <x:f>'Wide format'!K4</x:f>
        <x:v>0.23</x:v>
      </x:c>
    </x:row>
    <x:row r="19" ht="25" customHeight="1">
      <x:c r="A19" s="23" t="str">
        <x:f>'Wide format'!A4</x:f>
        <x:v>Gemma4-E4B</x:v>
      </x:c>
      <x:c r="B19" s="23" t="n">
        <x:v>1000</x:v>
      </x:c>
      <x:c r="C19" s="36" t="n">
        <x:f>'Wide format'!L4</x:f>
        <x:v>31.46</x:v>
      </x:c>
      <x:c r="D19" s="36" t="n">
        <x:f>'Wide format'!M4</x:f>
        <x:v>0.29</x:v>
      </x:c>
    </x:row>
    <x:row r="20" ht="25" customHeight="1">
      <x:c r="A20" s="23" t="str">
        <x:f>'Wide format'!A5</x:f>
        <x:v>DeepSeek-VL-7B</x:v>
      </x:c>
      <x:c r="B20" s="23" t="n">
        <x:v>10</x:v>
      </x:c>
      <x:c r="C20" s="36" t="n">
        <x:f>'Wide format'!B5</x:f>
        <x:v>68.72</x:v>
      </x:c>
      <x:c r="D20" s="36" t="n">
        <x:f>'Wide format'!C5</x:f>
        <x:v>1.89</x:v>
      </x:c>
    </x:row>
    <x:row r="21" ht="25" customHeight="1">
      <x:c r="A21" s="23" t="str">
        <x:f>'Wide format'!A5</x:f>
        <x:v>DeepSeek-VL-7B</x:v>
      </x:c>
      <x:c r="B21" s="23" t="n">
        <x:v>20</x:v>
      </x:c>
      <x:c r="C21" s="36" t="n">
        <x:f>'Wide format'!D5</x:f>
        <x:v>49</x:v>
      </x:c>
      <x:c r="D21" s="36" t="n">
        <x:f>'Wide format'!E5</x:f>
        <x:v>1.3</x:v>
      </x:c>
    </x:row>
    <x:row r="22" ht="25" customHeight="1">
      <x:c r="A22" s="23" t="str">
        <x:f>'Wide format'!A5</x:f>
        <x:v>DeepSeek-VL-7B</x:v>
      </x:c>
      <x:c r="B22" s="23" t="n">
        <x:v>100</x:v>
      </x:c>
      <x:c r="C22" s="36" t="n">
        <x:f>'Wide format'!F5</x:f>
        <x:v>17.84</x:v>
      </x:c>
      <x:c r="D22" s="36" t="n">
        <x:f>'Wide format'!G5</x:f>
        <x:v>0.87</x:v>
      </x:c>
    </x:row>
    <x:row r="23" ht="25" customHeight="1">
      <x:c r="A23" s="23" t="str">
        <x:f>'Wide format'!A5</x:f>
        <x:v>DeepSeek-VL-7B</x:v>
      </x:c>
      <x:c r="B23" s="23" t="n">
        <x:v>200</x:v>
      </x:c>
      <x:c r="C23" s="36" t="n">
        <x:f>'Wide format'!H5</x:f>
        <x:v>7.21</x:v>
      </x:c>
      <x:c r="D23" s="36" t="n">
        <x:f>'Wide format'!I5</x:f>
        <x:v>0.72</x:v>
      </x:c>
    </x:row>
    <x:row r="24" ht="25" customHeight="1">
      <x:c r="A24" s="23" t="str">
        <x:f>'Wide format'!A5</x:f>
        <x:v>DeepSeek-VL-7B</x:v>
      </x:c>
      <x:c r="B24" s="23" t="n">
        <x:v>500</x:v>
      </x:c>
      <x:c r="C24" s="36" t="n">
        <x:f>'Wide format'!J5</x:f>
        <x:v>2.2</x:v>
      </x:c>
      <x:c r="D24" s="36" t="n">
        <x:f>'Wide format'!K5</x:f>
        <x:v>0.48</x:v>
      </x:c>
    </x:row>
    <x:row r="25" ht="25" customHeight="1">
      <x:c r="A25" s="23" t="str">
        <x:f>'Wide format'!A5</x:f>
        <x:v>DeepSeek-VL-7B</x:v>
      </x:c>
      <x:c r="B25" s="23" t="n">
        <x:v>1000</x:v>
      </x:c>
      <x:c r="C25" s="36" t="n">
        <x:f>'Wide format'!L5</x:f>
        <x:v>0.5</x:v>
      </x:c>
      <x:c r="D25" s="36" t="n">
        <x:f>'Wide format'!M5</x:f>
        <x:v>0.33</x:v>
      </x:c>
    </x:row>
    <x:row r="26" ht="25" customHeight="1">
      <x:c r="A26" s="23" t="str">
        <x:f>'Wide format'!A6</x:f>
        <x:v>Kimi-VL-A3B</x:v>
      </x:c>
      <x:c r="B26" s="23" t="n">
        <x:v>10</x:v>
      </x:c>
      <x:c r="C26" s="36" t="n">
        <x:f>'Wide format'!B6</x:f>
        <x:v>94.28</x:v>
      </x:c>
      <x:c r="D26" s="36" t="n">
        <x:f>'Wide format'!C6</x:f>
        <x:v>1.83</x:v>
      </x:c>
    </x:row>
    <x:row r="27" ht="25" customHeight="1">
      <x:c r="A27" s="23" t="str">
        <x:f>'Wide format'!A6</x:f>
        <x:v>Kimi-VL-A3B</x:v>
      </x:c>
      <x:c r="B27" s="23" t="n">
        <x:v>20</x:v>
      </x:c>
      <x:c r="C27" s="36" t="n">
        <x:f>'Wide format'!D6</x:f>
        <x:v>87.7</x:v>
      </x:c>
      <x:c r="D27" s="36" t="n">
        <x:f>'Wide format'!E6</x:f>
        <x:v>1.62</x:v>
      </x:c>
    </x:row>
    <x:row r="28" ht="25" customHeight="1">
      <x:c r="A28" s="23" t="str">
        <x:f>'Wide format'!A6</x:f>
        <x:v>Kimi-VL-A3B</x:v>
      </x:c>
      <x:c r="B28" s="23" t="n">
        <x:v>100</x:v>
      </x:c>
      <x:c r="C28" s="36" t="n">
        <x:f>'Wide format'!F6</x:f>
        <x:v>63.72</x:v>
      </x:c>
      <x:c r="D28" s="36" t="n">
        <x:f>'Wide format'!G6</x:f>
        <x:v>1.33</x:v>
      </x:c>
    </x:row>
    <x:row r="29" ht="25" customHeight="1">
      <x:c r="A29" s="23" t="str">
        <x:f>'Wide format'!A6</x:f>
        <x:v>Kimi-VL-A3B</x:v>
      </x:c>
      <x:c r="B29" s="23" t="n">
        <x:v>200</x:v>
      </x:c>
      <x:c r="C29" s="36" t="n">
        <x:f>'Wide format'!H6</x:f>
        <x:v>52.53</x:v>
      </x:c>
      <x:c r="D29" s="36" t="n">
        <x:f>'Wide format'!I6</x:f>
        <x:v>0.99</x:v>
      </x:c>
    </x:row>
    <x:row r="30" ht="25" customHeight="1">
      <x:c r="A30" s="23" t="str">
        <x:f>'Wide format'!A6</x:f>
        <x:v>Kimi-VL-A3B</x:v>
      </x:c>
      <x:c r="B30" s="23" t="n">
        <x:v>500</x:v>
      </x:c>
      <x:c r="C30" s="36" t="n">
        <x:f>'Wide format'!J6</x:f>
        <x:v>40.72</x:v>
      </x:c>
      <x:c r="D30" s="36" t="n">
        <x:f>'Wide format'!K6</x:f>
        <x:v>0.47</x:v>
      </x:c>
    </x:row>
    <x:row r="31" ht="25" customHeight="1">
      <x:c r="A31" s="23" t="str">
        <x:f>'Wide format'!A6</x:f>
        <x:v>Kimi-VL-A3B</x:v>
      </x:c>
      <x:c r="B31" s="23" t="n">
        <x:v>1000</x:v>
      </x:c>
      <x:c r="C31" s="36" t="n">
        <x:f>'Wide format'!L6</x:f>
        <x:v>35.69</x:v>
      </x:c>
      <x:c r="D31" s="36" t="n">
        <x:f>'Wide format'!M6</x:f>
        <x:v>0.26</x:v>
      </x:c>
    </x:row>
    <x:row r="32" ht="25" customHeight="1">
      <x:c r="A32" s="23" t="str">
        <x:f>'Wide format'!A7</x:f>
        <x:v>Qwen2.5-VL-7B</x:v>
      </x:c>
      <x:c r="B32" s="23" t="n">
        <x:v>10</x:v>
      </x:c>
      <x:c r="C32" s="36" t="n">
        <x:f>'Wide format'!B7</x:f>
        <x:v>97.16</x:v>
      </x:c>
      <x:c r="D32" s="36" t="n">
        <x:f>'Wide format'!C7</x:f>
        <x:v>2.06</x:v>
      </x:c>
    </x:row>
    <x:row r="33" ht="25" customHeight="1">
      <x:c r="A33" s="23" t="str">
        <x:f>'Wide format'!A7</x:f>
        <x:v>Qwen2.5-VL-7B</x:v>
      </x:c>
      <x:c r="B33" s="23" t="n">
        <x:v>20</x:v>
      </x:c>
      <x:c r="C33" s="36" t="n">
        <x:f>'Wide format'!D7</x:f>
        <x:v>95.24</x:v>
      </x:c>
      <x:c r="D33" s="36" t="n">
        <x:f>'Wide format'!E7</x:f>
        <x:v>2.35</x:v>
      </x:c>
    </x:row>
    <x:row r="34" ht="25" customHeight="1">
      <x:c r="A34" s="23" t="str">
        <x:f>'Wide format'!A7</x:f>
        <x:v>Qwen2.5-VL-7B</x:v>
      </x:c>
      <x:c r="B34" s="23" t="n">
        <x:v>100</x:v>
      </x:c>
      <x:c r="C34" s="36" t="n">
        <x:f>'Wide format'!F7</x:f>
        <x:v>84.88</x:v>
      </x:c>
      <x:c r="D34" s="36" t="n">
        <x:f>'Wide format'!G7</x:f>
        <x:v>1.57</x:v>
      </x:c>
    </x:row>
    <x:row r="35" ht="25" customHeight="1">
      <x:c r="A35" s="23" t="str">
        <x:f>'Wide format'!A7</x:f>
        <x:v>Qwen2.5-VL-7B</x:v>
      </x:c>
      <x:c r="B35" s="23" t="n">
        <x:v>200</x:v>
      </x:c>
      <x:c r="C35" s="36" t="n">
        <x:f>'Wide format'!H7</x:f>
        <x:v>82.94</x:v>
      </x:c>
      <x:c r="D35" s="36" t="n">
        <x:f>'Wide format'!I7</x:f>
        <x:v>1.02</x:v>
      </x:c>
    </x:row>
    <x:row r="36" ht="25" customHeight="1">
      <x:c r="A36" s="23" t="str">
        <x:f>'Wide format'!A7</x:f>
        <x:v>Qwen2.5-VL-7B</x:v>
      </x:c>
      <x:c r="B36" s="23" t="n">
        <x:v>500</x:v>
      </x:c>
      <x:c r="C36" s="36" t="n">
        <x:f>'Wide format'!J7</x:f>
        <x:v>70.4</x:v>
      </x:c>
      <x:c r="D36" s="36" t="n">
        <x:f>'Wide format'!K7</x:f>
        <x:v>0.64</x:v>
      </x:c>
    </x:row>
    <x:row r="37" ht="25" customHeight="1">
      <x:c r="A37" s="23" t="str">
        <x:f>'Wide format'!A7</x:f>
        <x:v>Qwen2.5-VL-7B</x:v>
      </x:c>
      <x:c r="B37" s="23" t="n">
        <x:v>1000</x:v>
      </x:c>
      <x:c r="C37" s="36" t="n">
        <x:f>'Wide format'!L7</x:f>
        <x:v>61.8</x:v>
      </x:c>
      <x:c r="D37" s="36" t="n">
        <x:f>'Wide format'!M7</x:f>
        <x:v>0.73</x:v>
      </x:c>
    </x:row>
    <x:row r="38" ht="25" customHeight="1">
      <x:c r="A38" s="23" t="str">
        <x:f>'Wide format'!A8</x:f>
        <x:v>Qwen2.5-VL-32B</x:v>
      </x:c>
      <x:c r="B38" s="23" t="n">
        <x:v>10</x:v>
      </x:c>
      <x:c r="C38" s="36" t="n">
        <x:f>'Wide format'!B8</x:f>
        <x:v>98.04</x:v>
      </x:c>
      <x:c r="D38" s="36" t="n">
        <x:f>'Wide format'!C8</x:f>
        <x:v>1.94</x:v>
      </x:c>
    </x:row>
    <x:row r="39" ht="25" customHeight="1">
      <x:c r="A39" s="23" t="str">
        <x:f>'Wide format'!A8</x:f>
        <x:v>Qwen2.5-VL-32B</x:v>
      </x:c>
      <x:c r="B39" s="23" t="n">
        <x:v>20</x:v>
      </x:c>
      <x:c r="C39" s="36" t="n">
        <x:f>'Wide format'!D8</x:f>
        <x:v>97.24</x:v>
      </x:c>
      <x:c r="D39" s="36" t="n">
        <x:f>'Wide format'!E8</x:f>
        <x:v>1.55</x:v>
      </x:c>
    </x:row>
    <x:row r="40" ht="25" customHeight="1">
      <x:c r="A40" s="23" t="str">
        <x:f>'Wide format'!A8</x:f>
        <x:v>Qwen2.5-VL-32B</x:v>
      </x:c>
      <x:c r="B40" s="23" t="n">
        <x:v>100</x:v>
      </x:c>
      <x:c r="C40" s="36" t="n">
        <x:f>'Wide format'!F8</x:f>
        <x:v>87</x:v>
      </x:c>
      <x:c r="D40" s="36" t="n">
        <x:f>'Wide format'!G8</x:f>
        <x:v>1.65</x:v>
      </x:c>
    </x:row>
    <x:row r="41" ht="25" customHeight="1">
      <x:c r="A41" s="23" t="str">
        <x:f>'Wide format'!A8</x:f>
        <x:v>Qwen2.5-VL-32B</x:v>
      </x:c>
      <x:c r="B41" s="23" t="n">
        <x:v>200</x:v>
      </x:c>
      <x:c r="C41" s="36" t="n">
        <x:f>'Wide format'!H8</x:f>
        <x:v>84.19</x:v>
      </x:c>
      <x:c r="D41" s="36" t="n">
        <x:f>'Wide format'!I8</x:f>
        <x:v>1.35</x:v>
      </x:c>
    </x:row>
    <x:row r="42" ht="25" customHeight="1">
      <x:c r="A42" s="23" t="str">
        <x:f>'Wide format'!A8</x:f>
        <x:v>Qwen2.5-VL-32B</x:v>
      </x:c>
      <x:c r="B42" s="23" t="n">
        <x:v>500</x:v>
      </x:c>
      <x:c r="C42" s="36" t="n">
        <x:f>'Wide format'!J8</x:f>
        <x:v>73.98</x:v>
      </x:c>
      <x:c r="D42" s="36" t="n">
        <x:f>'Wide format'!K8</x:f>
        <x:v>1.76</x:v>
      </x:c>
    </x:row>
    <x:row r="43" ht="25" customHeight="1">
      <x:c r="A43" s="23" t="str">
        <x:f>'Wide format'!A8</x:f>
        <x:v>Qwen2.5-VL-32B</x:v>
      </x:c>
      <x:c r="B43" s="23" t="n">
        <x:v>1000</x:v>
      </x:c>
      <x:c r="C43" s="36" t="n">
        <x:f>'Wide format'!L8</x:f>
        <x:v>65.5</x:v>
      </x:c>
      <x:c r="D43" s="36" t="n">
        <x:f>'Wide format'!M8</x:f>
        <x:v>0.69</x:v>
      </x:c>
    </x:row>
    <x:row r="44" ht="25" customHeight="1">
      <x:c r="A44" s="23" t="str">
        <x:f>'Wide format'!A9</x:f>
        <x:v>Qwen2.5-VL-MAX</x:v>
      </x:c>
      <x:c r="B44" s="23" t="n">
        <x:v>10</x:v>
      </x:c>
      <x:c r="C44" s="36" t="n">
        <x:f>'Wide format'!B9</x:f>
        <x:v>98.52</x:v>
      </x:c>
      <x:c r="D44" s="36" t="n">
        <x:f>'Wide format'!C9</x:f>
        <x:v>1.63</x:v>
      </x:c>
    </x:row>
    <x:row r="45" ht="25" customHeight="1">
      <x:c r="A45" s="23" t="str">
        <x:f>'Wide format'!A9</x:f>
        <x:v>Qwen2.5-VL-MAX</x:v>
      </x:c>
      <x:c r="B45" s="23" t="n">
        <x:v>20</x:v>
      </x:c>
      <x:c r="C45" s="36" t="n">
        <x:f>'Wide format'!D9</x:f>
        <x:v>97.24</x:v>
      </x:c>
      <x:c r="D45" s="36" t="n">
        <x:f>'Wide format'!E9</x:f>
        <x:v>1.39</x:v>
      </x:c>
    </x:row>
    <x:row r="46" ht="25" customHeight="1">
      <x:c r="A46" s="23" t="str">
        <x:f>'Wide format'!A9</x:f>
        <x:v>Qwen2.5-VL-MAX</x:v>
      </x:c>
      <x:c r="B46" s="23" t="n">
        <x:v>100</x:v>
      </x:c>
      <x:c r="C46" s="36" t="n">
        <x:f>'Wide format'!F9</x:f>
        <x:v>90.52</x:v>
      </x:c>
      <x:c r="D46" s="36" t="n">
        <x:f>'Wide format'!G9</x:f>
        <x:v>1.32</x:v>
      </x:c>
    </x:row>
    <x:row r="47" ht="25" customHeight="1">
      <x:c r="A47" s="23" t="str">
        <x:f>'Wide format'!A9</x:f>
        <x:v>Qwen2.5-VL-MAX</x:v>
      </x:c>
      <x:c r="B47" s="23" t="n">
        <x:v>200</x:v>
      </x:c>
      <x:c r="C47" s="36" t="n">
        <x:f>'Wide format'!H9</x:f>
        <x:v>86.45</x:v>
      </x:c>
      <x:c r="D47" s="36" t="n">
        <x:f>'Wide format'!I9</x:f>
        <x:v>1.65</x:v>
      </x:c>
    </x:row>
    <x:row r="48" ht="25" customHeight="1">
      <x:c r="A48" s="23" t="str">
        <x:f>'Wide format'!A9</x:f>
        <x:v>Qwen2.5-VL-MAX</x:v>
      </x:c>
      <x:c r="B48" s="23" t="n">
        <x:v>500</x:v>
      </x:c>
      <x:c r="C48" s="36" t="n">
        <x:f>'Wide format'!J9</x:f>
        <x:v>79.5</x:v>
      </x:c>
      <x:c r="D48" s="36" t="n">
        <x:f>'Wide format'!K9</x:f>
        <x:v>1.53</x:v>
      </x:c>
    </x:row>
    <x:row r="49" ht="25" customHeight="1">
      <x:c r="A49" s="23" t="str">
        <x:f>'Wide format'!A9</x:f>
        <x:v>Qwen2.5-VL-MAX</x:v>
      </x:c>
      <x:c r="B49" s="23" t="n">
        <x:v>1000</x:v>
      </x:c>
      <x:c r="C49" s="36" t="n">
        <x:f>'Wide format'!L9</x:f>
        <x:v>71.62</x:v>
      </x:c>
      <x:c r="D49" s="36" t="n">
        <x:f>'Wide format'!M9</x:f>
        <x:v>0.98</x:v>
      </x:c>
    </x:row>
    <x:row r="50" ht="25" customHeight="1">
      <x:c r="A50" s="23" t="str">
        <x:f>'Wide format'!A10</x:f>
        <x:v>Qwen3-VL-2B</x:v>
      </x:c>
      <x:c r="B50" s="23" t="n">
        <x:v>10</x:v>
      </x:c>
      <x:c r="C50" s="36" t="n">
        <x:f>'Wide format'!B10</x:f>
        <x:v>95.8</x:v>
      </x:c>
      <x:c r="D50" s="36" t="n">
        <x:f>'Wide format'!C10</x:f>
        <x:v>1.87</x:v>
      </x:c>
    </x:row>
    <x:row r="51" ht="25" customHeight="1">
      <x:c r="A51" s="23" t="str">
        <x:f>'Wide format'!A10</x:f>
        <x:v>Qwen3-VL-2B</x:v>
      </x:c>
      <x:c r="B51" s="23" t="n">
        <x:v>20</x:v>
      </x:c>
      <x:c r="C51" s="36" t="n">
        <x:f>'Wide format'!D10</x:f>
        <x:v>89.86</x:v>
      </x:c>
      <x:c r="D51" s="36" t="n">
        <x:f>'Wide format'!E10</x:f>
        <x:v>1.84</x:v>
      </x:c>
    </x:row>
    <x:row r="52" ht="25" customHeight="1">
      <x:c r="A52" s="23" t="str">
        <x:f>'Wide format'!A10</x:f>
        <x:v>Qwen3-VL-2B</x:v>
      </x:c>
      <x:c r="B52" s="23" t="n">
        <x:v>100</x:v>
      </x:c>
      <x:c r="C52" s="36" t="n">
        <x:f>'Wide format'!F10</x:f>
        <x:v>75.31</x:v>
      </x:c>
      <x:c r="D52" s="36" t="n">
        <x:f>'Wide format'!G10</x:f>
        <x:v>1.6</x:v>
      </x:c>
    </x:row>
    <x:row r="53" ht="25" customHeight="1">
      <x:c r="A53" s="23" t="str">
        <x:f>'Wide format'!A10</x:f>
        <x:v>Qwen3-VL-2B</x:v>
      </x:c>
      <x:c r="B53" s="23" t="n">
        <x:v>200</x:v>
      </x:c>
      <x:c r="C53" s="36" t="n">
        <x:f>'Wide format'!H10</x:f>
        <x:v>66.28</x:v>
      </x:c>
      <x:c r="D53" s="36" t="n">
        <x:f>'Wide format'!I10</x:f>
        <x:v>1.11</x:v>
      </x:c>
    </x:row>
    <x:row r="54" ht="25" customHeight="1">
      <x:c r="A54" s="23" t="str">
        <x:f>'Wide format'!A10</x:f>
        <x:v>Qwen3-VL-2B</x:v>
      </x:c>
      <x:c r="B54" s="23" t="n">
        <x:v>500</x:v>
      </x:c>
      <x:c r="C54" s="36" t="n">
        <x:f>'Wide format'!J10</x:f>
        <x:v>53.12</x:v>
      </x:c>
      <x:c r="D54" s="36" t="n">
        <x:f>'Wide format'!K10</x:f>
        <x:v>0.77</x:v>
      </x:c>
    </x:row>
    <x:row r="55" ht="25" customHeight="1">
      <x:c r="A55" s="23" t="str">
        <x:f>'Wide format'!A10</x:f>
        <x:v>Qwen3-VL-2B</x:v>
      </x:c>
      <x:c r="B55" s="23" t="n">
        <x:v>1000</x:v>
      </x:c>
      <x:c r="C55" s="36" t="n">
        <x:f>'Wide format'!L10</x:f>
        <x:v>40.54</x:v>
      </x:c>
      <x:c r="D55" s="36" t="n">
        <x:f>'Wide format'!M10</x:f>
        <x:v>0.36</x:v>
      </x:c>
    </x:row>
    <x:row r="56" ht="25" customHeight="1">
      <x:c r="A56" s="23" t="str">
        <x:f>'Wide format'!A11</x:f>
        <x:v>Qwen3-VL-8B</x:v>
      </x:c>
      <x:c r="B56" s="23" t="n">
        <x:v>10</x:v>
      </x:c>
      <x:c r="C56" s="36" t="n">
        <x:f>'Wide format'!B11</x:f>
        <x:v>97.04</x:v>
      </x:c>
      <x:c r="D56" s="36" t="n">
        <x:f>'Wide format'!C11</x:f>
        <x:v>2.09</x:v>
      </x:c>
    </x:row>
    <x:row r="57" ht="25" customHeight="1">
      <x:c r="A57" s="23" t="str">
        <x:f>'Wide format'!A11</x:f>
        <x:v>Qwen3-VL-8B</x:v>
      </x:c>
      <x:c r="B57" s="23" t="n">
        <x:v>20</x:v>
      </x:c>
      <x:c r="C57" s="36" t="n">
        <x:f>'Wide format'!D11</x:f>
        <x:v>96.8</x:v>
      </x:c>
      <x:c r="D57" s="36" t="n">
        <x:f>'Wide format'!E11</x:f>
        <x:v>1.83</x:v>
      </x:c>
    </x:row>
    <x:row r="58" ht="25" customHeight="1">
      <x:c r="A58" s="23" t="str">
        <x:f>'Wide format'!A11</x:f>
        <x:v>Qwen3-VL-8B</x:v>
      </x:c>
      <x:c r="B58" s="23" t="n">
        <x:v>100</x:v>
      </x:c>
      <x:c r="C58" s="36" t="n">
        <x:f>'Wide format'!F11</x:f>
        <x:v>91.02</x:v>
      </x:c>
      <x:c r="D58" s="36" t="n">
        <x:f>'Wide format'!G11</x:f>
        <x:v>0.86</x:v>
      </x:c>
    </x:row>
    <x:row r="59" ht="25" customHeight="1">
      <x:c r="A59" s="23" t="str">
        <x:f>'Wide format'!A11</x:f>
        <x:v>Qwen3-VL-8B</x:v>
      </x:c>
      <x:c r="B59" s="23" t="n">
        <x:v>200</x:v>
      </x:c>
      <x:c r="C59" s="36" t="n">
        <x:f>'Wide format'!H11</x:f>
        <x:v>84.24</x:v>
      </x:c>
      <x:c r="D59" s="36" t="n">
        <x:f>'Wide format'!I11</x:f>
        <x:v>0.74</x:v>
      </x:c>
    </x:row>
    <x:row r="60" ht="25" customHeight="1">
      <x:c r="A60" s="23" t="str">
        <x:f>'Wide format'!A11</x:f>
        <x:v>Qwen3-VL-8B</x:v>
      </x:c>
      <x:c r="B60" s="23" t="n">
        <x:v>500</x:v>
      </x:c>
      <x:c r="C60" s="36" t="n">
        <x:f>'Wide format'!J11</x:f>
        <x:v>76.56</x:v>
      </x:c>
      <x:c r="D60" s="36" t="n">
        <x:f>'Wide format'!K11</x:f>
        <x:v>0.49</x:v>
      </x:c>
    </x:row>
    <x:row r="61" ht="25" customHeight="1">
      <x:c r="A61" s="23" t="str">
        <x:f>'Wide format'!A11</x:f>
        <x:v>Qwen3-VL-8B</x:v>
      </x:c>
      <x:c r="B61" s="23" t="n">
        <x:v>1000</x:v>
      </x:c>
      <x:c r="C61" s="36" t="n">
        <x:f>'Wide format'!L11</x:f>
        <x:v>67.56</x:v>
      </x:c>
      <x:c r="D61" s="36" t="n">
        <x:f>'Wide format'!M11</x:f>
        <x:v>0.38</x:v>
      </x:c>
    </x:row>
  </x:sheetData>
  <x:pageMargins left="0.7" right="0.7" top="0.75" bottom="0.75" header="0.3" footer="0.3"/>
</x:worksheet>
</file>