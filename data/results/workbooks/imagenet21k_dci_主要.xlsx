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83a30efee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-Source" sheetId="1" r:id="R3db9a1d2b8534a7f"/>
    <x:sheet xmlns:r="http://schemas.openxmlformats.org/officeDocument/2006/relationships" name="API-Served" sheetId="2" r:id="Rd112b67292d345cc"/>
    <x:sheet xmlns:r="http://schemas.openxmlformats.org/officeDocument/2006/relationships" name="Confirmation Log" sheetId="3" r:id="R3c901e5b8eef4d7c"/>
  </x:sheets>
</x:workbook>
</file>

<file path=xl/sharedStrings.xml><?xml version="1.0" encoding="utf-8"?>
<x:sst xmlns:x="http://schemas.openxmlformats.org/spreadsheetml/2006/main">
  <x:si>
    <x:t xml:space="preserve">Model</x:t>
  </x:si>
  <x:si>
    <x:t xml:space="preserve">Baseline mean (%)</x:t>
  </x:si>
  <x:si>
    <x:t xml:space="preserve">Baseline SD</x:t>
  </x:si>
  <x:si>
    <x:t xml:space="preserve">DCI mean (%)</x:t>
  </x:si>
  <x:si>
    <x:t xml:space="preserve">DCI SD</x:t>
  </x:si>
  <x:si>
    <x:t xml:space="preserve">Improvement (pp)</x:t>
  </x:si>
  <x:si>
    <x:t xml:space="preserve">Qwen2.5-VL-7B</x:t>
  </x:si>
  <x:si>
    <x:t xml:space="preserve">Qwen3-VL-2B</x:t>
  </x:si>
  <x:si>
    <x:t xml:space="preserve">Qwen3-VL-4B</x:t>
  </x:si>
  <x:si>
    <x:t xml:space="preserve">Qwen3-VL-8B</x:t>
  </x:si>
  <x:si>
    <x:t xml:space="preserve">Gemma4-E4B</x:t>
  </x:si>
  <x:si>
    <x:t xml:space="preserve">Baseline cost (USD/img)</x:t>
  </x:si>
  <x:si>
    <x:t xml:space="preserve">DCI cost (USD/img)</x:t>
  </x:si>
  <x:si>
    <x:t xml:space="preserve">GPT-4.1</x:t>
  </x:si>
  <x:si>
    <x:t xml:space="preserve">Claude Opus 4.5</x:t>
  </x:si>
  <x:si>
    <x:t xml:space="preserve">Qwen3-VL-Plus</x:t>
  </x:si>
  <x:si>
    <x:t xml:space="preserve">Kimi-K2.5</x:t>
  </x:si>
  <x:si>
    <x:t xml:space="preserve">LLaMA-4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</x:si>
</x:sst>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00000"/>
    <x:numFmt numFmtId="200" formatCode="0.00"/>
  </x:numFmts>
  <x:fonts count="29">
    <x:font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9C5700"/>
      <x:name val="Aptos"/>
    </x:font>
    <x:font>
      <x:sz val="11"/>
      <x:color rgb="FFFF0000"/>
      <x:name val="Carlito"/>
    </x:font>
    <x:font>
      <x:sz val="10"/>
      <x:color rgb="FFFF0000"/>
      <x:name val="Aptos"/>
    </x:font>
    <x:font>
      <x:b/>
      <x:sz val="10"/>
      <x:color rgb="FFFF0000"/>
      <x:name val="Aptos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Arial"/>
    </x:font>
    <x:font>
      <x:b/>
      <x:sz val="10"/>
      <x:color rgb="FFFFFFFF"/>
      <x:name val="Arial"/>
    </x:font>
  </x:fonts>
  <x:fills count="3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2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FC4DB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4" borderId="4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5" borderId="7" applyNumberFormat="0" applyAlignment="0" applyProtection="0">
      <x:alignment vertical="center"/>
    </x:xf>
    <x:xf numFmtId="0" fontId="17" fillId="6" borderId="8" applyNumberFormat="0" applyAlignment="0" applyProtection="0">
      <x:alignment vertical="center"/>
    </x:xf>
    <x:xf numFmtId="0" fontId="18" fillId="6" borderId="7" applyNumberFormat="0" applyAlignment="0" applyProtection="0">
      <x:alignment vertical="center"/>
    </x:xf>
    <x:xf numFmtId="0" fontId="19" fillId="7" borderId="9" applyNumberFormat="0" applyAlignment="0" applyProtection="0">
      <x:alignment vertical="center"/>
    </x:xf>
    <x:xf numFmtId="0" fontId="20" fillId="0" borderId="10" applyNumberFormat="0" applyFill="0" applyAlignment="0" applyProtection="0">
      <x:alignment vertical="center"/>
    </x:xf>
    <x:xf numFmtId="0" fontId="21" fillId="0" borderId="11" applyNumberFormat="0" applyFill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0" fillId="0" borderId="0"/>
  </x:cellStyleXfs>
  <x:cellXfs count="27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0" borderId="2" xfId="49" applyNumberFormat="1" applyFont="1" applyFill="1" applyBorder="1" applyAlignment="1">
      <x:alignment horizontal="left"/>
    </x:xf>
    <x:xf numFmtId="2" fontId="2" fillId="0" borderId="2" xfId="49" applyNumberFormat="1" applyFont="1" applyFill="1" applyBorder="1" applyAlignment="1">
      <x:alignment horizontal="right"/>
    </x:xf>
    <x:xf numFmtId="176" fontId="2" fillId="0" borderId="2" xfId="49" applyNumberFormat="1" applyFont="1" applyFill="1" applyBorder="1" applyAlignment="1">
      <x:alignment horizontal="right"/>
    </x:xf>
    <x:xf numFmtId="2" fontId="3" fillId="3" borderId="2" xfId="49" applyNumberFormat="1" applyFont="1" applyFill="1" applyBorder="1" applyAlignment="1">
      <x:alignment horizontal="right"/>
    </x:xf>
    <x:xf numFmtId="0" fontId="2" fillId="0" borderId="3" xfId="49" applyNumberFormat="1" applyFont="1" applyFill="1" applyBorder="1" applyAlignment="1">
      <x:alignment horizontal="left"/>
    </x:xf>
    <x:xf numFmtId="2" fontId="2" fillId="0" borderId="3" xfId="49" applyNumberFormat="1" applyFont="1" applyFill="1" applyBorder="1" applyAlignment="1">
      <x:alignment horizontal="right"/>
    </x:xf>
    <x:xf numFmtId="176" fontId="2" fillId="0" borderId="3" xfId="49" applyNumberFormat="1" applyFont="1" applyFill="1" applyBorder="1" applyAlignment="1">
      <x:alignment horizontal="right"/>
    </x:xf>
    <x:xf numFmtId="2" fontId="3" fillId="3" borderId="3" xfId="49" applyNumberFormat="1" applyFont="1" applyFill="1" applyBorder="1" applyAlignment="1">
      <x:alignment horizontal="right"/>
    </x:xf>
    <x:xf numFmtId="0" fontId="4" fillId="0" borderId="0" xfId="49" applyFont="1"/>
    <x:xf numFmtId="0" fontId="4" fillId="0" borderId="0" xfId="49" applyFont="1"/>
    <x:xf numFmtId="0" fontId="5" fillId="0" borderId="2" xfId="49" applyNumberFormat="1" applyFont="1" applyFill="1" applyBorder="1" applyAlignment="1">
      <x:alignment horizontal="left"/>
    </x:xf>
    <x:xf numFmtId="2" fontId="5" fillId="0" borderId="2" xfId="49" applyNumberFormat="1" applyFont="1" applyFill="1" applyBorder="1" applyAlignment="1">
      <x:alignment horizontal="right"/>
    </x:xf>
    <x:xf numFmtId="2" fontId="6" fillId="3" borderId="2" xfId="49" applyNumberFormat="1" applyFont="1" applyFill="1" applyBorder="1" applyAlignment="1">
      <x:alignment horizontal="right"/>
    </x:xf>
    <x:xf numFmtId="0" fontId="5" fillId="0" borderId="3" xfId="49" applyNumberFormat="1" applyFont="1" applyFill="1" applyBorder="1" applyAlignment="1">
      <x:alignment horizontal="left"/>
    </x:xf>
    <x:xf numFmtId="2" fontId="5" fillId="0" borderId="3" xfId="49" applyNumberFormat="1" applyFont="1" applyFill="1" applyBorder="1" applyAlignment="1">
      <x:alignment horizontal="right"/>
    </x:xf>
    <x:xf numFmtId="2" fontId="6" fillId="3" borderId="3" xfId="49" applyNumberFormat="1" applyFont="1" applyFill="1" applyBorder="1" applyAlignment="1">
      <x:alignment horizontal="right"/>
    </x:xf>
    <x:xf numFmtId="200" fontId="3" fillId="3" borderId="2" xfId="0" applyNumberFormat="1" applyFont="1" applyFill="1" applyBorder="1" applyAlignment="1">
      <x:alignment horizontal="right"/>
    </x:xf>
    <x:xf numFmtId="200" fontId="6" fillId="3" borderId="2" xfId="0" applyNumberFormat="1" applyFont="1" applyFill="1" applyBorder="1" applyAlignment="1">
      <x:alignment horizontal="right"/>
    </x:xf>
    <x:xf numFmtId="200" fontId="6" fillId="3" borderId="3" xfId="0" applyNumberFormat="1" applyFont="1" applyFill="1" applyBorder="1" applyAlignment="1">
      <x:alignment horizontal="right"/>
    </x:xf>
    <x:xf numFmtId="200" fontId="3" fillId="3" borderId="3" xfId="0" applyNumberFormat="1" applyFont="1" applyFill="1" applyBorder="1" applyAlignment="1">
      <x:alignment horizontal="right"/>
    </x:xf>
    <x:xf numFmtId="0" fontId="27" fillId="0" borderId="0" xfId="0" applyNumberFormat="1" applyFont="1" applyFill="1" applyBorder="1"/>
    <x:xf numFmtId="0" fontId="27" fillId="35" borderId="0" xfId="0" applyNumberFormat="1" applyFont="1" applyFill="1" applyBorder="1"/>
    <x:xf numFmtId="0" fontId="28" fillId="35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200" fontId="27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3dca8d1e943aa" /><Relationship Type="http://schemas.openxmlformats.org/officeDocument/2006/relationships/theme" Target="/xl/theme/theme1.xml" Id="R3d6291fe319747d7" /><Relationship Type="http://schemas.openxmlformats.org/officeDocument/2006/relationships/sharedStrings" Target="/xl/sharedStrings.xml" Id="Re93b209078f84794" /><Relationship Type="http://schemas.openxmlformats.org/officeDocument/2006/relationships/worksheet" Target="/xl/worksheets/sheet1.xml" Id="R3db9a1d2b8534a7f" /><Relationship Type="http://schemas.openxmlformats.org/officeDocument/2006/relationships/worksheet" Target="/xl/worksheets/sheet2.xml" Id="Rd112b67292d345cc" /><Relationship Type="http://schemas.openxmlformats.org/officeDocument/2006/relationships/worksheet" Target="/xl/worksheets/sheet3.xml" Id="R3c901e5b8eef4d7c" /></Relationships>
</file>

<file path=xl/tables/table1.xml><?xml version="1.0" encoding="utf-8"?>
<x:table xmlns:x="http://schemas.openxmlformats.org/spreadsheetml/2006/main" id="1" name="OpenSourceResults" displayName="OpenSourceResults" ref="A1:F6" totalsRowShown="0">
  <x:tableColumns count="6">
    <x:tableColumn id="1" name="Model"/>
    <x:tableColumn id="2" name="Baseline mean (%)"/>
    <x:tableColumn id="3" name="Baseline SD"/>
    <x:tableColumn id="4" name="DCI mean (%)"/>
    <x:tableColumn id="5" name="DCI SD"/>
    <x:tableColumn id="6" name="Improvement (pp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iServedResults" displayName="ApiServedResults" ref="A1:H6" totalsRowShown="0">
  <x:tableColumns count="8">
    <x:tableColumn id="1" name="Model"/>
    <x:tableColumn id="2" name="Baseline mean (%)"/>
    <x:tableColumn id="3" name="Baseline SD"/>
    <x:tableColumn id="4" name="Baseline cost (USD/img)"/>
    <x:tableColumn id="5" name="DCI mean (%)"/>
    <x:tableColumn id="6" name="DCI SD"/>
    <x:tableColumn id="7" name="DCI cost (USD/img)"/>
    <x:tableColumn id="8" name="Improvement (p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95a03d456546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fd849a979149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1" customWidth="1"/>
    <x:col min="2" max="5" width="17" customWidth="1"/>
    <x:col min="6" max="6" width="19" customWidth="1"/>
  </x:cols>
  <x:sheetData>
    <x:row r="1" ht="3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22" customHeight="1">
      <x:c r="A2" s="2" t="s">
        <x:v>6</x:v>
      </x:c>
      <x:c r="B2" s="3" t="n">
        <x:v>1.56</x:v>
      </x:c>
      <x:c r="C2" s="3">
        <x:v>0.32</x:v>
      </x:c>
      <x:c r="D2" s="3" t="n">
        <x:v>37.88</x:v>
      </x:c>
      <x:c r="E2" s="3">
        <x:v>1.75</x:v>
      </x:c>
      <x:c r="F2" s="18" t="n">
        <x:f>ROUND(D2-B2,2)</x:f>
        <x:v>36.32</x:v>
      </x:c>
    </x:row>
    <x:row r="3" s="10" customFormat="1" ht="22" customHeight="1">
      <x:c r="A3" s="12" t="s">
        <x:v>7</x:v>
      </x:c>
      <x:c r="B3" s="13" t="n">
        <x:v>2.12</x:v>
      </x:c>
      <x:c r="C3" s="13">
        <x:v>0.55</x:v>
      </x:c>
      <x:c r="D3" s="13" t="n">
        <x:v>20.14</x:v>
      </x:c>
      <x:c r="E3" s="13">
        <x:v>1.16</x:v>
      </x:c>
      <x:c r="F3" s="19" t="n">
        <x:f>ROUND(D3-B3,2)</x:f>
        <x:v>18.02</x:v>
      </x:c>
    </x:row>
    <x:row r="4" ht="22" customHeight="1">
      <x:c r="A4" s="2" t="s">
        <x:v>8</x:v>
      </x:c>
      <x:c r="B4" s="3" t="n">
        <x:v>2.96</x:v>
      </x:c>
      <x:c r="C4" s="3">
        <x:v>0.58</x:v>
      </x:c>
      <x:c r="D4" s="3" t="n">
        <x:v>33.4</x:v>
      </x:c>
      <x:c r="E4" s="3">
        <x:v>1.48</x:v>
      </x:c>
      <x:c r="F4" s="18" t="n">
        <x:f>ROUND(D4-B4,2)</x:f>
        <x:v>30.44</x:v>
      </x:c>
    </x:row>
    <x:row r="5" s="11" customFormat="1" ht="22" customHeight="1">
      <x:c r="A5" s="12" t="s">
        <x:v>9</x:v>
      </x:c>
      <x:c r="B5" s="13" t="n">
        <x:v>10.68</x:v>
      </x:c>
      <x:c r="C5" s="13">
        <x:v>0.96</x:v>
      </x:c>
      <x:c r="D5" s="13" t="n">
        <x:v>34.68</x:v>
      </x:c>
      <x:c r="E5" s="13">
        <x:v>1.68</x:v>
      </x:c>
      <x:c r="F5" s="19" t="n">
        <x:f>ROUND(D5-B5,2)</x:f>
        <x:v>24</x:v>
      </x:c>
    </x:row>
    <x:row r="6" s="10" customFormat="1" ht="22" customHeight="1">
      <x:c r="A6" s="15" t="s">
        <x:v>10</x:v>
      </x:c>
      <x:c r="B6" s="16" t="n">
        <x:v>2.14</x:v>
      </x:c>
      <x:c r="C6" s="16">
        <x:v>0.32</x:v>
      </x:c>
      <x:c r="D6" s="16" t="n">
        <x:v>13.46</x:v>
      </x:c>
      <x:c r="E6" s="16">
        <x:v>0.65</x:v>
      </x:c>
      <x:c r="F6" s="20" t="n">
        <x:f>ROUND(D6-B6,2)</x:f>
        <x:v>11.32</x:v>
      </x:c>
    </x:row>
  </x:sheetData>
  <x:conditionalFormatting sqref="F2:F6">
    <x:cfRule type="dataBar" priority="1">
      <x:dataBar minLength="10" maxLength="90"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{3bf86022-a26c-4dac-b04b-7417e452bdf8}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395a03d456546f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bf86022-a26c-4dac-b04b-7417e452bdf8}">
            <x14:dataBar minLength="10" maxLength="90" negativeBarColorSameAsPositive="1">
              <x14:cfvo type="min"/>
              <x14:cfvo type="max"/>
              <x14:fillColor rgb="FFED7D31"/>
              <x14:axisColor indexed="65"/>
            </x14:dataBar>
          </x14:cfRule>
          <xm:sqref>F2:F6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1" customWidth="1"/>
    <x:col min="2" max="3" width="17" customWidth="1"/>
    <x:col min="4" max="4" width="23" customWidth="1"/>
    <x:col min="5" max="6" width="15" customWidth="1"/>
    <x:col min="7" max="7" width="21" customWidth="1"/>
    <x:col min="8" max="8" width="19" customWidth="1"/>
  </x:cols>
  <x:sheetData>
    <x:row r="1" ht="34" customHeight="1">
      <x:c r="A1" s="1" t="s">
        <x:v>0</x:v>
      </x:c>
      <x:c r="B1" s="1" t="s">
        <x:v>1</x:v>
      </x:c>
      <x:c r="C1" s="1" t="s">
        <x:v>2</x:v>
      </x:c>
      <x:c r="D1" s="1" t="s">
        <x:v>11</x:v>
      </x:c>
      <x:c r="E1" s="1" t="s">
        <x:v>3</x:v>
      </x:c>
      <x:c r="F1" s="1" t="s">
        <x:v>4</x:v>
      </x:c>
      <x:c r="G1" s="1" t="s">
        <x:v>12</x:v>
      </x:c>
      <x:c r="H1" s="1" t="s">
        <x:v>5</x:v>
      </x:c>
    </x:row>
    <x:row r="2" ht="22" customHeight="1">
      <x:c r="A2" s="2" t="s">
        <x:v>13</x:v>
      </x:c>
      <x:c r="B2" s="3" t="n">
        <x:v>35.78</x:v>
      </x:c>
      <x:c r="C2" s="3">
        <x:v>1.89</x:v>
      </x:c>
      <x:c r="D2" s="4">
        <x:v>0.172126</x:v>
      </x:c>
      <x:c r="E2" s="3" t="n">
        <x:v>45.14</x:v>
      </x:c>
      <x:c r="F2" s="3">
        <x:v>1.77</x:v>
      </x:c>
      <x:c r="G2" s="4">
        <x:v>0.3728865</x:v>
      </x:c>
      <x:c r="H2" s="18" t="n">
        <x:f>ROUND(E2-B2,2)</x:f>
        <x:v>9.36</x:v>
      </x:c>
    </x:row>
    <x:row r="3" ht="22" customHeight="1">
      <x:c r="A3" s="2" t="s">
        <x:v>14</x:v>
      </x:c>
      <x:c r="B3" s="3" t="n">
        <x:v>45.88</x:v>
      </x:c>
      <x:c r="C3" s="3">
        <x:v>2.01</x:v>
      </x:c>
      <x:c r="D3" s="4">
        <x:v>0.34856505</x:v>
      </x:c>
      <x:c r="E3" s="3" t="n">
        <x:v>62.92</x:v>
      </x:c>
      <x:c r="F3" s="3">
        <x:v>2.33</x:v>
      </x:c>
      <x:c r="G3" s="4">
        <x:v>1.32118695</x:v>
      </x:c>
      <x:c r="H3" s="18" t="n">
        <x:f>ROUND(E3-B3,2)</x:f>
        <x:v>17.04</x:v>
      </x:c>
    </x:row>
    <x:row r="4" ht="22" customHeight="1">
      <x:c r="A4" s="2" t="s">
        <x:v>15</x:v>
      </x:c>
      <x:c r="B4" s="3" t="n">
        <x:v>36.76</x:v>
      </x:c>
      <x:c r="C4" s="3">
        <x:v>1.63</x:v>
      </x:c>
      <x:c r="D4" s="4">
        <x:v>0.012296429</x:v>
      </x:c>
      <x:c r="E4" s="3" t="n">
        <x:v>43.56</x:v>
      </x:c>
      <x:c r="F4" s="3">
        <x:v>2.1</x:v>
      </x:c>
      <x:c r="G4" s="4">
        <x:v>0.035938415</x:v>
      </x:c>
      <x:c r="H4" s="18" t="n">
        <x:f>ROUND(E4-B4,2)</x:f>
        <x:v>6.8</x:v>
      </x:c>
    </x:row>
    <x:row r="5" ht="22" customHeight="1">
      <x:c r="A5" s="2" t="s">
        <x:v>16</x:v>
      </x:c>
      <x:c r="B5" s="3" t="n">
        <x:v>15.1</x:v>
      </x:c>
      <x:c r="C5" s="3">
        <x:v>1.3</x:v>
      </x:c>
      <x:c r="D5" s="4">
        <x:v>0.05422095</x:v>
      </x:c>
      <x:c r="E5" s="3" t="n">
        <x:v>32.36</x:v>
      </x:c>
      <x:c r="F5" s="3">
        <x:v>1.36</x:v>
      </x:c>
      <x:c r="G5" s="4">
        <x:v>0.3592008</x:v>
      </x:c>
      <x:c r="H5" s="18" t="n">
        <x:f>ROUND(E5-B5,2)</x:f>
        <x:v>17.26</x:v>
      </x:c>
    </x:row>
    <x:row r="6" ht="22" customHeight="1">
      <x:c r="A6" s="6" t="s">
        <x:v>17</x:v>
      </x:c>
      <x:c r="B6" s="7" t="n">
        <x:v>12.46</x:v>
      </x:c>
      <x:c r="C6" s="7">
        <x:v>1.62</x:v>
      </x:c>
      <x:c r="D6" s="8">
        <x:v>0.01463105</x:v>
      </x:c>
      <x:c r="E6" s="7" t="n">
        <x:v>15.52</x:v>
      </x:c>
      <x:c r="F6" s="7">
        <x:v>1.17</x:v>
      </x:c>
      <x:c r="G6" s="8">
        <x:v>0.052318048</x:v>
      </x:c>
      <x:c r="H6" s="21" t="n">
        <x:f>ROUND(E6-B6,2)</x:f>
        <x:v>3.06</x:v>
      </x:c>
    </x:row>
  </x:sheetData>
  <x:conditionalFormatting sqref="H2:H6">
    <x:cfRule type="dataBar" priority="1">
      <x:dataBar minLength="10" maxLength="90"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{524bffcf-2db7-44f7-be4e-88c32db281f5}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0fd849a9791497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4bffcf-2db7-44f7-be4e-88c32db281f5}">
            <x14:dataBar minLength="10" maxLength="90" negativeBarColorSameAsPositive="1">
              <x14:cfvo type="min"/>
              <x14:cfvo type="max"/>
              <x14:fillColor rgb="FFED7D31"/>
              <x14:axisColor indexed="65"/>
            </x14:dataBar>
          </x14:cfRule>
          <xm:sqref>H2:H6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56" hidden="0" customWidth="1"/>
    <x:col min="4" max="4" width="20" hidden="0" customWidth="1"/>
    <x:col min="5" max="5" width="20" hidden="0" customWidth="1"/>
    <x:col min="6" max="6" width="42" hidden="0" customWidth="1"/>
  </x:cols>
  <x:sheetData>
    <x:row r="1" ht="26" customHeight="1">
      <x:c r="A1" s="24" t="str">
        <x:v>Date</x:v>
      </x:c>
      <x:c r="B1" s="24" t="str">
        <x:v>Location</x:v>
      </x:c>
      <x:c r="C1" s="24" t="str">
        <x:v>Description</x:v>
      </x:c>
      <x:c r="D1" s="24" t="str">
        <x:v>Before</x:v>
      </x:c>
      <x:c r="E1" s="24" t="str">
        <x:v>After</x:v>
      </x:c>
      <x:c r="F1" s="24" t="str">
        <x:v>Basis</x:v>
      </x:c>
    </x:row>
    <x:row r="2" ht="36" customHeight="1">
      <x:c r="A2" s="25" t="str">
        <x:v>2026-09-02</x:v>
      </x:c>
      <x:c r="B2" s="25" t="str">
        <x:v>Open-Source!B2</x:v>
      </x:c>
      <x:c r="C2" s="25" t="str">
        <x:v>Qwen2.5-VL-7B-Instruct: Flat mean</x:v>
      </x:c>
      <x:c r="D2" s="26" t="n">
        <x:v>1.55</x:v>
      </x:c>
      <x:c r="E2" s="26" t="n">
        <x:v>1.56</x:v>
      </x:c>
      <x:c r="F2" s="25" t="str">
        <x:v>User-confirmed mean / derived gain</x:v>
      </x:c>
    </x:row>
    <x:row r="3" ht="36" customHeight="1">
      <x:c r="A3" s="25" t="str">
        <x:v>2026-09-02</x:v>
      </x:c>
      <x:c r="B3" s="25" t="str">
        <x:v>Open-Source!D2</x:v>
      </x:c>
      <x:c r="C3" s="25" t="str">
        <x:v>Qwen2.5-VL-7B-Instruct: DCI B=100 mean</x:v>
      </x:c>
      <x:c r="D3" s="26" t="n">
        <x:v>37.87</x:v>
      </x:c>
      <x:c r="E3" s="26" t="n">
        <x:v>37.88</x:v>
      </x:c>
      <x:c r="F3" s="25" t="str">
        <x:v>User-confirmed mean / derived gain</x:v>
      </x:c>
    </x:row>
    <x:row r="4" ht="36" customHeight="1">
      <x:c r="A4" s="25" t="str">
        <x:v>2026-09-02</x:v>
      </x:c>
      <x:c r="B4" s="25" t="str">
        <x:v>Open-Source!D4</x:v>
      </x:c>
      <x:c r="C4" s="25" t="str">
        <x:v>Qwen3-VL-4B-Instruct: DCI B=100 mean</x:v>
      </x:c>
      <x:c r="D4" s="26" t="n">
        <x:v>33.39</x:v>
      </x:c>
      <x:c r="E4" s="26" t="n">
        <x:v>33.4</x:v>
      </x:c>
      <x:c r="F4" s="25" t="str">
        <x:v>User-confirmed mean / derived gain</x:v>
      </x:c>
    </x:row>
    <x:row r="5" ht="36" customHeight="1">
      <x:c r="A5" s="25" t="str">
        <x:v>2026-09-02</x:v>
      </x:c>
      <x:c r="B5" s="25" t="str">
        <x:v>Open-Source!F4</x:v>
      </x:c>
      <x:c r="C5" s="25" t="str">
        <x:v>Qwen3-VL-4B-Instruct: gain (pp)</x:v>
      </x:c>
      <x:c r="D5" s="26" t="n">
        <x:v>30.43</x:v>
      </x:c>
      <x:c r="E5" s="26" t="n">
        <x:v>30.44</x:v>
      </x:c>
      <x:c r="F5" s="25" t="str">
        <x:v>User-confirmed mean / derived gain</x:v>
      </x:c>
    </x:row>
    <x:row r="6" ht="36" customHeight="1">
      <x:c r="A6" s="25" t="str">
        <x:v>2026-09-02</x:v>
      </x:c>
      <x:c r="B6" s="25" t="str">
        <x:v>Open-Source!D5</x:v>
      </x:c>
      <x:c r="C6" s="25" t="str">
        <x:v>Qwen3-VL-8B-Instruct: DCI B=100 mean</x:v>
      </x:c>
      <x:c r="D6" s="26" t="n">
        <x:v>34.69</x:v>
      </x:c>
      <x:c r="E6" s="26" t="n">
        <x:v>34.68</x:v>
      </x:c>
      <x:c r="F6" s="25" t="str">
        <x:v>User-confirmed mean / derived gain</x:v>
      </x:c>
    </x:row>
    <x:row r="7" ht="36" customHeight="1">
      <x:c r="A7" s="25" t="str">
        <x:v>2026-09-02</x:v>
      </x:c>
      <x:c r="B7" s="25" t="str">
        <x:v>Open-Source!F5</x:v>
      </x:c>
      <x:c r="C7" s="25" t="str">
        <x:v>Qwen3-VL-8B-Instruct: gain (pp)</x:v>
      </x:c>
      <x:c r="D7" s="26" t="n">
        <x:v>24.01</x:v>
      </x:c>
      <x:c r="E7" s="26" t="n">
        <x:v>24</x:v>
      </x:c>
      <x:c r="F7" s="25" t="str">
        <x:v>User-confirmed mean / derived gain</x:v>
      </x:c>
    </x:row>
    <x:row r="8" ht="36" customHeight="1">
      <x:c r="A8" s="25" t="str">
        <x:v>2026-09-02</x:v>
      </x:c>
      <x:c r="B8" s="25" t="str">
        <x:v>Open-Source!B6</x:v>
      </x:c>
      <x:c r="C8" s="25" t="str">
        <x:v>Gemma-4-E4B: Flat mean</x:v>
      </x:c>
      <x:c r="D8" s="26" t="n">
        <x:v>2.13</x:v>
      </x:c>
      <x:c r="E8" s="26" t="n">
        <x:v>2.14</x:v>
      </x:c>
      <x:c r="F8" s="25" t="str">
        <x:v>User-confirmed mean / derived gain</x:v>
      </x:c>
    </x:row>
    <x:row r="9" ht="36" customHeight="1">
      <x:c r="A9" s="25" t="str">
        <x:v>2026-09-02</x:v>
      </x:c>
      <x:c r="B9" s="25" t="str">
        <x:v>Open-Source!D6</x:v>
      </x:c>
      <x:c r="C9" s="25" t="str">
        <x:v>Gemma-4-E4B: DCI B=100 mean</x:v>
      </x:c>
      <x:c r="D9" s="26" t="n">
        <x:v>13.47</x:v>
      </x:c>
      <x:c r="E9" s="26" t="n">
        <x:v>13.46</x:v>
      </x:c>
      <x:c r="F9" s="25" t="str">
        <x:v>User-confirmed mean / derived gain</x:v>
      </x:c>
    </x:row>
    <x:row r="10" ht="36" customHeight="1">
      <x:c r="A10" s="25" t="str">
        <x:v>2026-09-02</x:v>
      </x:c>
      <x:c r="B10" s="25" t="str">
        <x:v>Open-Source!F6</x:v>
      </x:c>
      <x:c r="C10" s="25" t="str">
        <x:v>Gemma-4-E4B: gain (pp)</x:v>
      </x:c>
      <x:c r="D10" s="26" t="n">
        <x:v>11.34</x:v>
      </x:c>
      <x:c r="E10" s="26" t="n">
        <x:v>11.32</x:v>
      </x:c>
      <x:c r="F10" s="25" t="str">
        <x:v>User-confirmed mean / derived gain</x:v>
      </x:c>
    </x:row>
    <x:row r="11" ht="36" customHeight="1">
      <x:c r="A11" s="25" t="str">
        <x:v>2026-09-02</x:v>
      </x:c>
      <x:c r="B11" s="25" t="str">
        <x:v>API-Served!B2</x:v>
      </x:c>
      <x:c r="C11" s="25" t="str">
        <x:v>GPT-4.1: Flat mean</x:v>
      </x:c>
      <x:c r="D11" s="26" t="n">
        <x:v>35.77</x:v>
      </x:c>
      <x:c r="E11" s="26" t="n">
        <x:v>35.78</x:v>
      </x:c>
      <x:c r="F11" s="25" t="str">
        <x:v>User-confirmed mean / derived gain</x:v>
      </x:c>
    </x:row>
    <x:row r="12" ht="36" customHeight="1">
      <x:c r="A12" s="25" t="str">
        <x:v>2026-09-02</x:v>
      </x:c>
      <x:c r="B12" s="25" t="str">
        <x:v>API-Served!E2</x:v>
      </x:c>
      <x:c r="C12" s="25" t="str">
        <x:v>GPT-4.1: DCI B=100 mean</x:v>
      </x:c>
      <x:c r="D12" s="26" t="n">
        <x:v>45.15</x:v>
      </x:c>
      <x:c r="E12" s="26" t="n">
        <x:v>45.14</x:v>
      </x:c>
      <x:c r="F12" s="25" t="str">
        <x:v>User-confirmed mean / derived gain</x:v>
      </x:c>
    </x:row>
    <x:row r="13" ht="36" customHeight="1">
      <x:c r="A13" s="25" t="str">
        <x:v>2026-09-02</x:v>
      </x:c>
      <x:c r="B13" s="25" t="str">
        <x:v>API-Served!H2</x:v>
      </x:c>
      <x:c r="C13" s="25" t="str">
        <x:v>GPT-4.1: gain (pp)</x:v>
      </x:c>
      <x:c r="D13" s="26" t="n">
        <x:v>9.38</x:v>
      </x:c>
      <x:c r="E13" s="26" t="n">
        <x:v>9.36</x:v>
      </x:c>
      <x:c r="F13" s="25" t="str">
        <x:v>User-confirmed mean / derived gain</x:v>
      </x:c>
    </x:row>
    <x:row r="14" ht="36" customHeight="1">
      <x:c r="A14" s="25" t="str">
        <x:v>2026-09-02</x:v>
      </x:c>
      <x:c r="B14" s="25" t="str">
        <x:v>API-Served!E3</x:v>
      </x:c>
      <x:c r="C14" s="25" t="str">
        <x:v>Claude Opus 4.5: DCI B=100 mean</x:v>
      </x:c>
      <x:c r="D14" s="26" t="n">
        <x:v>62.91</x:v>
      </x:c>
      <x:c r="E14" s="26" t="n">
        <x:v>62.92</x:v>
      </x:c>
      <x:c r="F14" s="25" t="str">
        <x:v>User-confirmed mean / derived gain</x:v>
      </x:c>
    </x:row>
    <x:row r="15" ht="36" customHeight="1">
      <x:c r="A15" s="25" t="str">
        <x:v>2026-09-02</x:v>
      </x:c>
      <x:c r="B15" s="25" t="str">
        <x:v>API-Served!H3</x:v>
      </x:c>
      <x:c r="C15" s="25" t="str">
        <x:v>Claude Opus 4.5: gain (pp)</x:v>
      </x:c>
      <x:c r="D15" s="26" t="n">
        <x:v>17.03</x:v>
      </x:c>
      <x:c r="E15" s="26" t="n">
        <x:v>17.04</x:v>
      </x:c>
      <x:c r="F15" s="25" t="str">
        <x:v>User-confirmed mean / derived gain</x:v>
      </x:c>
    </x:row>
    <x:row r="16" ht="36" customHeight="1">
      <x:c r="A16" s="25" t="str">
        <x:v>2026-09-02</x:v>
      </x:c>
      <x:c r="B16" s="25" t="str">
        <x:v>API-Served!B4</x:v>
      </x:c>
      <x:c r="C16" s="25" t="str">
        <x:v>Qwen3-VL-Plus: Flat mean</x:v>
      </x:c>
      <x:c r="D16" s="26" t="n">
        <x:v>36.79</x:v>
      </x:c>
      <x:c r="E16" s="26" t="n">
        <x:v>36.76</x:v>
      </x:c>
      <x:c r="F16" s="25" t="str">
        <x:v>User-confirmed mean / derived gain</x:v>
      </x:c>
    </x:row>
    <x:row r="17" ht="36" customHeight="1">
      <x:c r="A17" s="25" t="str">
        <x:v>2026-09-02</x:v>
      </x:c>
      <x:c r="B17" s="25" t="str">
        <x:v>API-Served!H4</x:v>
      </x:c>
      <x:c r="C17" s="25" t="str">
        <x:v>Qwen3-VL-Plus: gain (pp)</x:v>
      </x:c>
      <x:c r="D17" s="26" t="n">
        <x:v>6.77</x:v>
      </x:c>
      <x:c r="E17" s="26" t="n">
        <x:v>6.8</x:v>
      </x:c>
      <x:c r="F17" s="25" t="str">
        <x:v>User-confirmed mean / derived gain</x:v>
      </x:c>
    </x:row>
    <x:row r="18" ht="36" customHeight="1">
      <x:c r="A18" s="25" t="str">
        <x:v>2026-09-02</x:v>
      </x:c>
      <x:c r="B18" s="25" t="str">
        <x:v>API-Served!B5</x:v>
      </x:c>
      <x:c r="C18" s="25" t="str">
        <x:v>Kimi-K2.5: Flat mean</x:v>
      </x:c>
      <x:c r="D18" s="26" t="n">
        <x:v>15.13</x:v>
      </x:c>
      <x:c r="E18" s="26" t="n">
        <x:v>15.1</x:v>
      </x:c>
      <x:c r="F18" s="25" t="str">
        <x:v>User-confirmed mean / derived gain</x:v>
      </x:c>
    </x:row>
    <x:row r="19" ht="36" customHeight="1">
      <x:c r="A19" s="25" t="str">
        <x:v>2026-09-02</x:v>
      </x:c>
      <x:c r="B19" s="25" t="str">
        <x:v>API-Served!H5</x:v>
      </x:c>
      <x:c r="C19" s="25" t="str">
        <x:v>Kimi-K2.5: gain (pp)</x:v>
      </x:c>
      <x:c r="D19" s="26" t="n">
        <x:v>17.23</x:v>
      </x:c>
      <x:c r="E19" s="26" t="n">
        <x:v>17.26</x:v>
      </x:c>
      <x:c r="F19" s="25" t="str">
        <x:v>User-confirmed mean / derived gain</x:v>
      </x:c>
    </x:row>
    <x:row r="20" ht="36" customHeight="1">
      <x:c r="A20" s="25" t="str">
        <x:v>2026-09-02</x:v>
      </x:c>
      <x:c r="B20" s="25" t="str">
        <x:v>API-Served!B6</x:v>
      </x:c>
      <x:c r="C20" s="25" t="str">
        <x:v>Llama-4-Maverick: Flat mean</x:v>
      </x:c>
      <x:c r="D20" s="26" t="n">
        <x:v>12.45</x:v>
      </x:c>
      <x:c r="E20" s="26" t="n">
        <x:v>12.46</x:v>
      </x:c>
      <x:c r="F20" s="25" t="str">
        <x:v>User-confirmed mean / derived gain</x:v>
      </x:c>
    </x:row>
    <x:row r="21" ht="36" customHeight="1">
      <x:c r="A21" s="25" t="str">
        <x:v>2026-09-02</x:v>
      </x:c>
      <x:c r="B21" s="25" t="str">
        <x:v>API-Served!H6</x:v>
      </x:c>
      <x:c r="C21" s="25" t="str">
        <x:v>Llama-4-Maverick: gain (pp)</x:v>
      </x:c>
      <x:c r="D21" s="26" t="n">
        <x:v>3.07</x:v>
      </x:c>
      <x:c r="E21" s="26" t="n">
        <x:v>3.06</x:v>
      </x:c>
      <x:c r="F21" s="25" t="str">
        <x:v>User-confirmed mean / derived gain</x:v>
      </x:c>
    </x:row>
    <x:row r="22" ht="36" customHeight="1">
      <x:c r="A22" s="25"/>
      <x:c r="B22" s="25"/>
      <x:c r="C22" s="25"/>
      <x:c r="D22" s="25"/>
      <x:c r="E22" s="25"/>
      <x:c r="F22" s="25"/>
    </x:row>
    <x:row r="23" ht="36" customHeight="1">
      <x:c r="A23" s="25" t="str">
        <x:v>Scope</x:v>
      </x:c>
      <x:c r="B23" s="25" t="str">
        <x:v>ImageNet-21K; Table 2 and reused points</x:v>
      </x:c>
      <x:c r="C23" s="25" t="str">
        <x:v>Mean corrections confirmed by user; no per-run recomputation.</x:v>
      </x:c>
      <x:c r="D23" s="25" t="str">
        <x:v>SD unchanged</x:v>
      </x:c>
      <x:c r="E23" s="25" t="str">
        <x:v>Latency/cost unchanged</x:v>
      </x:c>
      <x:c r="F23" s="25" t="str">
        <x:v>Historical Raw Data retained</x:v>
      </x:c>
    </x:row>
  </x:sheetData>
  <x:pageMargins left="0.7" right="0.7" top="0.75" bottom="0.75" header="0.3" footer="0.3"/>
</x:worksheet>
</file>