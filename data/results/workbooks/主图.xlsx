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0bfe9eb56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1a2822754544a3"/>
    <x:sheet xmlns:r="http://schemas.openxmlformats.org/officeDocument/2006/relationships" name="Figure Data" sheetId="2" r:id="R893a32270e164fb1"/>
    <x:sheet xmlns:r="http://schemas.openxmlformats.org/officeDocument/2006/relationships" name="Raw Data" sheetId="3" r:id="Re4719e97bbd34a4b"/>
    <x:sheet xmlns:r="http://schemas.openxmlformats.org/officeDocument/2006/relationships" name="Grid Corrections" sheetId="4" r:id="R5bbf1e89cc144c61"/>
    <x:sheet xmlns:r="http://schemas.openxmlformats.org/officeDocument/2006/relationships" name="SD Authority" sheetId="5" r:id="R026b5b8e76b64e2e"/>
  </x:sheets>
</x:workbook>
</file>

<file path=xl/sharedStrings.xml><?xml version="1.0" encoding="utf-8"?>
<x:sst xmlns:x="http://schemas.openxmlformats.org/spreadsheetml/2006/main">
  <x:si>
    <x:t xml:space="preserve">DCI Classification Figure Data</x:t>
  </x:si>
  <x:si>
    <x:t xml:space="preserve">Item</x:t>
  </x:si>
  <x:si>
    <x:t xml:space="preserve">Description</x:t>
  </x:si>
  <x:si>
    <x:t xml:space="preserve">Metric</x:t>
  </x:si>
  <x:si>
    <x:t xml:space="preserve">Top-1 classification accuracy (%)</x:t>
  </x:si>
  <x:si>
    <x:t xml:space="preserve">Statistics</x:t>
  </x:si>
  <x:si>
    <x:t xml:space="preserve">Mean and standard deviation over five independent runs</x:t>
  </x:si>
  <x:si>
    <x:t xml:space="preserve">Delta</x:t>
  </x:si>
  <x:si>
    <x:t xml:space="preserve">Absolute gain of w/ DCI over w/o DCI, in percentage points</x:t>
  </x:si>
  <x:si>
    <x:t xml:space="preserve">Avg.</x:t>
  </x:si>
  <x:si>
    <x:t xml:space="preserve">Arithmetic mean of the four benchmark means</x:t>
  </x:si>
  <x:si>
    <x:t xml:space="preserve">Avg. uncertainty</x:t>
  </x:si>
  <x:si>
    <x:t xml:space="preserve">Not reported because Avg. combines heterogeneous datasets</x:t>
  </x:si>
  <x:si>
    <x:t xml:space="preserve">Source</x:t>
  </x:si>
  <x:si>
    <x:t xml:space="preserve">codex-clipboard-b8cbed0c-29c6-4e90-baf2-515d5b0aaee0.png</x:t>
  </x:si>
  <x:si>
    <x:t xml:space="preserve">Classification Performance With and Without DCI</x:t>
  </x:si>
  <x:si>
    <x:t xml:space="preserve">Accuracy values are percentages; delta values are percentage points.</x:t>
  </x:si>
  <x:si>
    <x:t xml:space="preserve">Model</x:t>
  </x:si>
  <x:si>
    <x:t xml:space="preserve">Dataset</x:t>
  </x:si>
  <x:si>
    <x:t xml:space="preserve">w/o DCI Mean (%)</x:t>
  </x:si>
  <x:si>
    <x:t xml:space="preserve">w/o DCI Std.</x:t>
  </x:si>
  <x:si>
    <x:t xml:space="preserve">w/ DCI Mean (%)</x:t>
  </x:si>
  <x:si>
    <x:t xml:space="preserve">w/ DCI Std.</x:t>
  </x:si>
  <x:si>
    <x:t xml:space="preserve">Delta (pp)</x:t>
  </x:si>
  <x:si>
    <x:t xml:space="preserve">Qwen2.5-VL-7B</x:t>
  </x:si>
  <x:si>
    <x:t xml:space="preserve">ImageNet-1K</x:t>
  </x:si>
  <x:si>
    <x:t xml:space="preserve">CIFAR-100</x:t>
  </x:si>
  <x:si>
    <x:t xml:space="preserve">CUB-200</x:t>
  </x:si>
  <x:si>
    <x:t xml:space="preserve">Food-101</x:t>
  </x:si>
  <x:si>
    <x:t xml:space="preserve">Qwen3-VL-2B</x:t>
  </x:si>
  <x:si>
    <x:t xml:space="preserve">Qwen3-VL-4B</x:t>
  </x:si>
  <x:si>
    <x:t xml:space="preserve">Qwen3-VL-8B</x:t>
  </x:si>
  <x:si>
    <x:t xml:space="preserve">Kimi-VL-A3B</x:t>
  </x:si>
  <x:si>
    <x:t xml:space="preserve">Gemma4-E2B</x:t>
  </x:si>
  <x:si>
    <x:t xml:space="preserve">Raw Figure Inputs</x:t>
  </x:si>
  <x:si>
    <x:t xml:space="preserve">Condition</x:t>
  </x:si>
  <x:si>
    <x:t xml:space="preserve">Mean accuracy (%)</x:t>
  </x:si>
  <x:si>
    <x:t xml:space="preserve">Std. dev.</x:t>
  </x:si>
  <x:si>
    <x:t xml:space="preserve">Runs</x:t>
  </x:si>
  <x:si>
    <x:t xml:space="preserve">w/o DCI</x:t>
  </x:si>
  <x:si>
    <x:t xml:space="preserve">w/ DCI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</x:si>
</x:sst>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\+0.00;\-0.00;0.00"/>
    <x:numFmt numFmtId="200" formatCode="0.00"/>
  </x:numFmts>
  <x:fonts count="29">
    <x:font>
      <x:sz val="11"/>
      <x:name val="Carlito"/>
    </x:font>
    <x:font>
      <x:b/>
      <x:sz val="11"/>
      <x:color rgb="FFFFFFFF"/>
      <x:name val="Carlito"/>
    </x:font>
    <x:font>
      <x:sz val="11"/>
      <x:color rgb="FFFF0000"/>
      <x:name val="Carlito"/>
    </x:font>
    <x:font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color rgb="FF1F4E78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6">
    <x:border/>
    <x:border>
      <x:bottom style="medium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D9E1E8"/>
      </x:bottom>
    </x:border>
    <x:border>
      <x:top style="thin">
        <x:color rgb="FF9EADBA"/>
      </x:top>
      <x:bottom style="thin">
        <x:color rgb="FFD9E1E8"/>
      </x:bottom>
    </x:border>
    <x:border>
      <x:left style="thin">
        <x:color rgb="FF9EADBA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left style="thin">
        <x:color rgb="FF9EADBA"/>
      </x:left>
      <x:top style="thin">
        <x:color rgb="FFD9E1E8"/>
      </x:top>
      <x:bottom style="thin">
        <x:color rgb="FF9EADBA"/>
      </x:bottom>
    </x:border>
    <x:border>
      <x:top style="thin">
        <x:color rgb="FFD9E1E8"/>
      </x:top>
      <x:bottom style="thin">
        <x:color rgb="FF9EADBA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6" borderId="8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9" applyNumberFormat="0" applyFill="0" applyAlignment="0" applyProtection="0">
      <x:alignment vertical="center"/>
    </x:xf>
    <x:xf numFmtId="0" fontId="13" fillId="0" borderId="9" applyNumberFormat="0" applyFill="0" applyAlignment="0" applyProtection="0">
      <x:alignment vertical="center"/>
    </x:xf>
    <x:xf numFmtId="0" fontId="14" fillId="0" borderId="10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11" applyNumberFormat="0" applyAlignment="0" applyProtection="0">
      <x:alignment vertical="center"/>
    </x:xf>
    <x:xf numFmtId="0" fontId="16" fillId="8" borderId="12" applyNumberFormat="0" applyAlignment="0" applyProtection="0">
      <x:alignment vertical="center"/>
    </x:xf>
    <x:xf numFmtId="0" fontId="17" fillId="8" borderId="11" applyNumberFormat="0" applyAlignment="0" applyProtection="0">
      <x:alignment vertical="center"/>
    </x:xf>
    <x:xf numFmtId="0" fontId="18" fillId="9" borderId="13" applyNumberFormat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0" fillId="0" borderId="0"/>
  </x:cellStyleXfs>
  <x:cellXfs count="33">
    <x:xf numFmtId="0" fontId="0" fillId="0" borderId="0" xfId="49"/>
    <x:xf numFmtId="0" fontId="1" fillId="2" borderId="0" xfId="49" applyNumberFormat="1" applyFont="1" applyFill="1" applyBorder="1" applyAlignment="1">
      <x:alignment horizontal="center"/>
    </x:xf>
    <x:xf numFmtId="0" fontId="0" fillId="0" borderId="0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 applyAlignment="1">
      <x:alignment vertical="center"/>
    </x:xf>
    <x:xf numFmtId="1" fontId="0" fillId="0" borderId="0" xfId="49" applyNumberFormat="1" applyFont="1" applyFill="1" applyBorder="1" applyAlignment="1">
      <x:alignment vertical="center"/>
    </x:xf>
    <x:xf numFmtId="0" fontId="2" fillId="0" borderId="0" xfId="49" applyFont="1"/>
    <x:xf numFmtId="0" fontId="2" fillId="0" borderId="0" xfId="49" applyFont="1"/>
    <x:xf numFmtId="0" fontId="3" fillId="3" borderId="0" xfId="49" applyNumberFormat="1" applyFont="1" applyFill="1" applyBorder="1" applyAlignment="1">
      <x:alignment horizontal="center"/>
    </x:xf>
    <x:xf numFmtId="0" fontId="2" fillId="0" borderId="0" xfId="49" applyNumberFormat="1" applyFont="1" applyFill="1" applyBorder="1" applyAlignment="1">
      <x:alignment vertical="center"/>
    </x:xf>
    <x:xf numFmtId="2" fontId="2" fillId="0" borderId="0" xfId="49" applyNumberFormat="1" applyFont="1" applyFill="1" applyBorder="1" applyAlignment="1">
      <x:alignment vertical="center"/>
    </x:xf>
    <x:xf numFmtId="176" fontId="2" fillId="0" borderId="0" xfId="49" applyNumberFormat="1" applyFont="1" applyFill="1" applyBorder="1" applyAlignment="1">
      <x:alignment vertical="center"/>
    </x:xf>
    <x:xf numFmtId="176" fontId="0" fillId="0" borderId="0" xfId="49" applyNumberFormat="1" applyFont="1" applyFill="1" applyBorder="1" applyAlignment="1">
      <x:alignment vertical="center"/>
    </x:xf>
    <x:xf numFmtId="0" fontId="4" fillId="4" borderId="1" xfId="49" applyNumberFormat="1" applyFont="1" applyFill="1" applyBorder="1" applyAlignment="1">
      <x:alignment vertical="center"/>
    </x:xf>
    <x:xf numFmtId="2" fontId="4" fillId="4" borderId="1" xfId="49" applyNumberFormat="1" applyFont="1" applyFill="1" applyBorder="1" applyAlignment="1">
      <x:alignment vertical="center"/>
    </x:xf>
    <x:xf numFmtId="176" fontId="4" fillId="4" borderId="1" xfId="49" applyNumberFormat="1" applyFont="1" applyFill="1" applyBorder="1" applyAlignment="1">
      <x:alignment vertical="center"/>
    </x:xf>
    <x:xf numFmtId="0" fontId="1" fillId="2" borderId="0" xfId="49" applyNumberFormat="1" applyFont="1" applyFill="1" applyBorder="1" applyAlignment="1">
      <x:alignment horizontal="center" vertical="center"/>
    </x:xf>
    <x:xf numFmtId="0" fontId="4" fillId="5" borderId="2" xfId="49" applyNumberFormat="1" applyFont="1" applyFill="1" applyBorder="1" applyAlignment="1">
      <x:alignment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0" fontId="5" fillId="0" borderId="4" xfId="49" applyNumberFormat="1" applyFont="1" applyFill="1" applyBorder="1" applyAlignment="1">
      <x:alignment vertical="center" wrapText="1"/>
    </x:xf>
    <x:xf numFmtId="0" fontId="0" fillId="0" borderId="5" xfId="49" applyNumberFormat="1" applyFont="1" applyFill="1" applyBorder="1" applyAlignment="1">
      <x:alignment vertical="center" wrapText="1"/>
    </x:xf>
    <x:xf numFmtId="0" fontId="5" fillId="0" borderId="6" xfId="49" applyNumberFormat="1" applyFont="1" applyFill="1" applyBorder="1" applyAlignment="1">
      <x:alignment vertical="center" wrapText="1"/>
    </x:xf>
    <x:xf numFmtId="0" fontId="0" fillId="0" borderId="7" xfId="49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/>
    <x:xf numFmtId="0" fontId="26" fillId="37" borderId="0" xfId="0" applyNumberFormat="1" applyFont="1" applyFill="1" applyBorder="1"/>
    <x:xf numFmtId="0" fontId="27" fillId="37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200" fontId="26" fillId="0" borderId="0" xfId="0" applyNumberFormat="1" applyFont="1" applyFill="1" applyBorder="1" applyAlignment="1">
      <x:alignment wrapText="1"/>
    </x:xf>
    <x:xf numFmtId="0" fontId="26" fillId="38" borderId="0" xfId="0" applyNumberFormat="1" applyFont="1" applyFill="1" applyBorder="1"/>
    <x:xf numFmtId="0" fontId="27" fillId="38" borderId="0" xfId="0" applyNumberFormat="1" applyFont="1" applyFill="1" applyBorder="1"/>
    <x:xf numFmtId="0" fontId="26" fillId="39" borderId="0" xfId="0" applyNumberFormat="1" applyFont="1" applyFill="1" applyBorder="1"/>
    <x:xf numFmtId="0" fontId="28" fillId="39" borderId="0" xfId="0" applyNumberFormat="1" applyFont="1" applyFill="1" applyBorder="1"/>
    <x:xf numFmtId="0" fontId="28" fillId="3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008A45"/>
      </x:font>
      <x:fill>
        <x:patternFill>
          <x:bgColor rgb="FFE8F5EE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c910e7f964e18" /><Relationship Type="http://schemas.openxmlformats.org/officeDocument/2006/relationships/theme" Target="/xl/theme/theme1.xml" Id="R657fc2d439b3436c" /><Relationship Type="http://schemas.openxmlformats.org/officeDocument/2006/relationships/sharedStrings" Target="/xl/sharedStrings.xml" Id="R2b80e8fea9384aeb" /><Relationship Type="http://schemas.openxmlformats.org/officeDocument/2006/relationships/worksheet" Target="/xl/worksheets/sheet1.xml" Id="Rc01a2822754544a3" /><Relationship Type="http://schemas.openxmlformats.org/officeDocument/2006/relationships/worksheet" Target="/xl/worksheets/sheet2.xml" Id="R893a32270e164fb1" /><Relationship Type="http://schemas.openxmlformats.org/officeDocument/2006/relationships/worksheet" Target="/xl/worksheets/sheet3.xml" Id="Re4719e97bbd34a4b" /><Relationship Type="http://schemas.openxmlformats.org/officeDocument/2006/relationships/worksheet" Target="/xl/worksheets/sheet4.xml" Id="R5bbf1e89cc144c61" /><Relationship Type="http://schemas.openxmlformats.org/officeDocument/2006/relationships/worksheet" Target="/xl/worksheets/sheet5.xml" Id="R026b5b8e76b64e2e" /></Relationships>
</file>

<file path=xl/tables/table1.xml><?xml version="1.0" encoding="utf-8"?>
<x:table xmlns:x="http://schemas.openxmlformats.org/spreadsheetml/2006/main" id="2" name="FigureDataTable" displayName="FigureDataTable" ref="A3:G33" totalsRowShown="0">
  <x:tableColumns count="7">
    <x:tableColumn id="1" name="Model"/>
    <x:tableColumn id="2" name="Dataset"/>
    <x:tableColumn id="3" name="w/o DCI Mean (%)"/>
    <x:tableColumn id="4" name="w/o DCI Std."/>
    <x:tableColumn id="5" name="w/ DCI Mean (%)"/>
    <x:tableColumn id="6" name="w/ DCI Std."/>
    <x:tableColumn id="7" name="Delta (pp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FigureData" displayName="RawFigureData" ref="A3:G51" totalsRowShown="0">
  <x:tableColumns count="7">
    <x:tableColumn id="1" name="Model"/>
    <x:tableColumn id="2" name="Dataset"/>
    <x:tableColumn id="3" name="Condition"/>
    <x:tableColumn id="4" name="Mean accuracy (%)"/>
    <x:tableColumn id="5" name="Std. dev."/>
    <x:tableColumn id="6" name="Runs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ea02cfcc1a48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c2e2240f464b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70" customWidth="1"/>
  </x:cols>
  <x:sheetData>
    <x:row r="1" ht="28" customHeight="1">
      <x:c r="A1" s="15" t="s">
        <x:v>0</x:v>
      </x:c>
      <x:c r="B1" s="15"/>
    </x:row>
    <x:row r="3" ht="17">
      <x:c r="A3" s="16" t="s">
        <x:v>1</x:v>
      </x:c>
      <x:c r="B3" s="17" t="s">
        <x:v>2</x:v>
      </x:c>
    </x:row>
    <x:row r="4" ht="17">
      <x:c r="A4" s="18" t="s">
        <x:v>3</x:v>
      </x:c>
      <x:c r="B4" s="19" t="s">
        <x:v>4</x:v>
      </x:c>
    </x:row>
    <x:row r="5" ht="17">
      <x:c r="A5" s="18" t="s">
        <x:v>5</x:v>
      </x:c>
      <x:c r="B5" s="19" t="s">
        <x:v>6</x:v>
      </x:c>
    </x:row>
    <x:row r="6" ht="17">
      <x:c r="A6" s="18" t="s">
        <x:v>7</x:v>
      </x:c>
      <x:c r="B6" s="19" t="s">
        <x:v>8</x:v>
      </x:c>
    </x:row>
    <x:row r="7" ht="17">
      <x:c r="A7" s="18" t="s">
        <x:v>9</x:v>
      </x:c>
      <x:c r="B7" s="19" t="s">
        <x:v>10</x:v>
      </x:c>
    </x:row>
    <x:row r="8" ht="17">
      <x:c r="A8" s="18" t="s">
        <x:v>11</x:v>
      </x:c>
      <x:c r="B8" s="19" t="s">
        <x:v>12</x:v>
      </x:c>
    </x:row>
    <x:row r="9" ht="17">
      <x:c r="A9" s="20" t="s">
        <x:v>13</x:v>
      </x:c>
      <x:c r="B9" s="21" t="s">
        <x:v>14</x:v>
      </x:c>
    </x:row>
    <x:row r="11" ht="65" customHeight="1">
      <x:c r="A11" s="32" t="str">
        <x:v>SD authority (2026-09-03)</x:v>
      </x:c>
      <x:c r="B11" s="32" t="str">
        <x:v>Figure Data; manuscript SD values confirmed by the author.</x:v>
      </x:c>
    </x:row>
    <x:row r="12" ht="65" customHeight="1">
      <x:c r="A12" s="32" t="str">
        <x:v>Historical entries</x:v>
      </x:c>
      <x:c r="B12" s="32" t="str">
        <x:v>Original source / correction sheets are retained as history; use the current authority for analysis and plotting.</x:v>
      </x:c>
    </x:row>
    <x:row r="13" ht="65" customHeight="1">
      <x:c r="A13" s="32" t="str">
        <x:v>Audit trail</x:v>
      </x:c>
      <x:c r="B13" s="32" t="str">
        <x:v>SD Authority records differing or previously absent historical SD entries. No statistical recomputation.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3" customWidth="1"/>
    <x:col min="2" max="2" width="16" customWidth="1"/>
    <x:col min="3" max="3" width="18" customWidth="1"/>
    <x:col min="4" max="4" width="11.647058486938477" customWidth="1"/>
    <x:col min="5" max="7" width="18" customWidth="1"/>
  </x:cols>
  <x:sheetData>
    <x:row r="1" ht="28" customHeight="1">
      <x:c r="A1" s="1" t="s">
        <x:v>15</x:v>
      </x:c>
      <x:c r="B1" s="1"/>
      <x:c r="C1" s="1"/>
      <x:c r="D1" s="1"/>
      <x:c r="E1" s="1"/>
      <x:c r="F1" s="1"/>
      <x:c r="G1" s="1"/>
    </x:row>
    <x:row r="2">
      <x:c r="A2" s="7" t="s">
        <x:v>16</x:v>
      </x:c>
      <x:c r="B2" s="7"/>
      <x:c r="C2" s="7"/>
      <x:c r="D2" s="7"/>
      <x:c r="E2" s="7"/>
      <x:c r="F2" s="7"/>
      <x:c r="G2" s="7"/>
    </x:row>
    <x:row r="3">
      <x:c r="A3" s="2" t="s">
        <x:v>17</x:v>
      </x:c>
      <x:c r="B3" s="2" t="s">
        <x:v>18</x:v>
      </x:c>
      <x:c r="C3" s="2" t="s">
        <x:v>19</x:v>
      </x:c>
      <x:c r="D3" s="2" t="s">
        <x:v>20</x:v>
      </x:c>
      <x:c r="E3" s="2" t="s">
        <x:v>21</x:v>
      </x:c>
      <x:c r="F3" s="2" t="s">
        <x:v>22</x:v>
      </x:c>
      <x:c r="G3" s="2" t="s">
        <x:v>23</x:v>
      </x:c>
    </x:row>
    <x:row r="4" s="5" customFormat="1">
      <x:c r="A4" s="8" t="s">
        <x:v>24</x:v>
      </x:c>
      <x:c r="B4" s="8" t="s">
        <x:v>25</x:v>
      </x:c>
      <x:c r="C4" s="9" t="n">
        <x:f>'Raw Data'!D4</x:f>
        <x:v>61.8</x:v>
      </x:c>
      <x:c r="D4" s="9">
        <x:v>0.73</x:v>
      </x:c>
      <x:c r="E4" s="9" t="n">
        <x:f>'Raw Data'!D5</x:f>
        <x:v>71.57</x:v>
      </x:c>
      <x:c r="F4" s="9">
        <x:v>0.68</x:v>
      </x:c>
      <x:c r="G4" s="10" t="n">
        <x:f t="shared" ref="G4:G33" si="0">ROUND(E4,2)-ROUND(C4,2)</x:f>
        <x:v>9.769999999999996</x:v>
      </x:c>
    </x:row>
    <x:row r="5">
      <x:c r="A5" s="2" t="s">
        <x:v>24</x:v>
      </x:c>
      <x:c r="B5" s="2" t="s">
        <x:v>26</x:v>
      </x:c>
      <x:c r="C5" s="3" t="n">
        <x:f>'Raw Data'!D6</x:f>
        <x:v>61.79</x:v>
      </x:c>
      <x:c r="D5" s="3">
        <x:v>0.16</x:v>
      </x:c>
      <x:c r="E5" s="3" t="n">
        <x:f>'Raw Data'!D7</x:f>
        <x:v>65.05</x:v>
      </x:c>
      <x:c r="F5" s="3">
        <x:v>0.21</x:v>
      </x:c>
      <x:c r="G5" s="11">
        <x:f t="shared" si="0"/>
        <x:v>3.26</x:v>
      </x:c>
    </x:row>
    <x:row r="6">
      <x:c r="A6" s="2" t="s">
        <x:v>24</x:v>
      </x:c>
      <x:c r="B6" s="2" t="s">
        <x:v>27</x:v>
      </x:c>
      <x:c r="C6" s="3" t="n">
        <x:f>'Raw Data'!D8</x:f>
        <x:v>35.29</x:v>
      </x:c>
      <x:c r="D6" s="3" t="n">
        <x:f>'Raw Data'!E8</x:f>
        <x:v>0.12</x:v>
      </x:c>
      <x:c r="E6" s="3" t="n">
        <x:f>'Raw Data'!D9</x:f>
        <x:v>48.6</x:v>
      </x:c>
      <x:c r="F6" s="3" t="n">
        <x:f>'Raw Data'!E9</x:f>
        <x:v>0.15</x:v>
      </x:c>
      <x:c r="G6" s="11">
        <x:f t="shared" si="0"/>
        <x:v>13.31</x:v>
      </x:c>
    </x:row>
    <x:row r="7">
      <x:c r="A7" s="2" t="s">
        <x:v>24</x:v>
      </x:c>
      <x:c r="B7" s="2" t="s">
        <x:v>28</x:v>
      </x:c>
      <x:c r="C7" s="3" t="n">
        <x:f>'Raw Data'!D10</x:f>
        <x:v>79.39</x:v>
      </x:c>
      <x:c r="D7" s="3" t="n">
        <x:f>'Raw Data'!E10</x:f>
        <x:v>0.12</x:v>
      </x:c>
      <x:c r="E7" s="3" t="n">
        <x:f>'Raw Data'!D11</x:f>
        <x:v>80.76</x:v>
      </x:c>
      <x:c r="F7" s="3" t="n">
        <x:f>'Raw Data'!E11</x:f>
        <x:v>0.1</x:v>
      </x:c>
      <x:c r="G7" s="11">
        <x:f t="shared" si="0"/>
        <x:v>1.37</x:v>
      </x:c>
    </x:row>
    <x:row r="8" ht="17.549999237060547">
      <x:c r="A8" s="12" t="s">
        <x:v>24</x:v>
      </x:c>
      <x:c r="B8" s="12" t="s">
        <x:v>9</x:v>
      </x:c>
      <x:c r="C8" s="13" t="n">
        <x:f>AVERAGE(C4:C7)</x:f>
        <x:v>59.567499999999995</x:v>
      </x:c>
      <x:c r="D8" s="13"/>
      <x:c r="E8" s="13" t="n">
        <x:f>AVERAGE(E4:E7)</x:f>
        <x:v>66.495</x:v>
      </x:c>
      <x:c r="F8" s="13"/>
      <x:c r="G8" s="14">
        <x:f t="shared" si="0"/>
        <x:v>6.93</x:v>
      </x:c>
    </x:row>
    <x:row r="9" s="5" customFormat="1">
      <x:c r="A9" s="8" t="s">
        <x:v>29</x:v>
      </x:c>
      <x:c r="B9" s="8" t="s">
        <x:v>25</x:v>
      </x:c>
      <x:c r="C9" s="9" t="n">
        <x:f>'Raw Data'!D12</x:f>
        <x:v>40.54</x:v>
      </x:c>
      <x:c r="D9" s="9">
        <x:v>0.36</x:v>
      </x:c>
      <x:c r="E9" s="9" t="n">
        <x:f>'Raw Data'!D13</x:f>
        <x:v>51.36</x:v>
      </x:c>
      <x:c r="F9" s="9">
        <x:v>0.32</x:v>
      </x:c>
      <x:c r="G9" s="10">
        <x:f t="shared" si="0"/>
        <x:v>10.82</x:v>
      </x:c>
    </x:row>
    <x:row r="10">
      <x:c r="A10" s="2" t="s">
        <x:v>29</x:v>
      </x:c>
      <x:c r="B10" s="2" t="s">
        <x:v>26</x:v>
      </x:c>
      <x:c r="C10" s="3" t="n">
        <x:f>'Raw Data'!D14</x:f>
        <x:v>75.91</x:v>
      </x:c>
      <x:c r="D10" s="3" t="n">
        <x:f>'Raw Data'!E14</x:f>
        <x:v>0.12</x:v>
      </x:c>
      <x:c r="E10" s="3" t="n">
        <x:f>'Raw Data'!D15</x:f>
        <x:v>76.03</x:v>
      </x:c>
      <x:c r="F10" s="3" t="n">
        <x:f>'Raw Data'!E15</x:f>
        <x:v>0.11</x:v>
      </x:c>
      <x:c r="G10" s="11">
        <x:f t="shared" si="0"/>
        <x:v>0.120000000000005</x:v>
      </x:c>
    </x:row>
    <x:row r="11">
      <x:c r="A11" s="2" t="s">
        <x:v>29</x:v>
      </x:c>
      <x:c r="B11" s="2" t="s">
        <x:v>27</x:v>
      </x:c>
      <x:c r="C11" s="3" t="n">
        <x:f>'Raw Data'!D16</x:f>
        <x:v>16.76</x:v>
      </x:c>
      <x:c r="D11" s="3">
        <x:v>0.15</x:v>
      </x:c>
      <x:c r="E11" s="3" t="n">
        <x:f>'Raw Data'!D17</x:f>
        <x:v>20.13</x:v>
      </x:c>
      <x:c r="F11" s="3">
        <x:v>0.33</x:v>
      </x:c>
      <x:c r="G11" s="11">
        <x:f t="shared" si="0"/>
        <x:v>3.37</x:v>
      </x:c>
    </x:row>
    <x:row r="12">
      <x:c r="A12" s="2" t="s">
        <x:v>29</x:v>
      </x:c>
      <x:c r="B12" s="2" t="s">
        <x:v>28</x:v>
      </x:c>
      <x:c r="C12" s="3" t="n">
        <x:f>'Raw Data'!D18</x:f>
        <x:v>72.2</x:v>
      </x:c>
      <x:c r="D12" s="3">
        <x:v>0.19</x:v>
      </x:c>
      <x:c r="E12" s="3" t="n">
        <x:f>'Raw Data'!D19</x:f>
        <x:v>75.78</x:v>
      </x:c>
      <x:c r="F12" s="3">
        <x:v>0.15</x:v>
      </x:c>
      <x:c r="G12" s="11">
        <x:f t="shared" si="0"/>
        <x:v>3.58</x:v>
      </x:c>
    </x:row>
    <x:row r="13" ht="17.549999237060547">
      <x:c r="A13" s="12" t="s">
        <x:v>29</x:v>
      </x:c>
      <x:c r="B13" s="12" t="s">
        <x:v>9</x:v>
      </x:c>
      <x:c r="C13" s="13" t="n">
        <x:f>AVERAGE(C9:C12)</x:f>
        <x:v>51.35249999999999</x:v>
      </x:c>
      <x:c r="D13" s="13"/>
      <x:c r="E13" s="13" t="n">
        <x:f>AVERAGE(E9:E12)</x:f>
        <x:v>55.825</x:v>
      </x:c>
      <x:c r="F13" s="13"/>
      <x:c r="G13" s="14" t="n">
        <x:f t="shared" si="0">ROUND(AVERAGE(G9:G12),2)</x:f>
        <x:v>4.47</x:v>
      </x:c>
    </x:row>
    <x:row r="14" s="5" customFormat="1">
      <x:c r="A14" s="8" t="s">
        <x:v>30</x:v>
      </x:c>
      <x:c r="B14" s="8" t="s">
        <x:v>25</x:v>
      </x:c>
      <x:c r="C14" s="9" t="n">
        <x:f>'Raw Data'!D20</x:f>
        <x:v>64.81</x:v>
      </x:c>
      <x:c r="D14" s="9" t="n">
        <x:f>'Raw Data'!E20</x:f>
        <x:v>0.21</x:v>
      </x:c>
      <x:c r="E14" s="9" t="n">
        <x:f>'Raw Data'!D21</x:f>
        <x:v>69.09</x:v>
      </x:c>
      <x:c r="F14" s="9" t="n">
        <x:f>'Raw Data'!E21</x:f>
        <x:v>0.23</x:v>
      </x:c>
      <x:c r="G14" s="10">
        <x:f t="shared" si="0"/>
        <x:v>4.28</x:v>
      </x:c>
    </x:row>
    <x:row r="15">
      <x:c r="A15" s="2" t="s">
        <x:v>30</x:v>
      </x:c>
      <x:c r="B15" s="2" t="s">
        <x:v>26</x:v>
      </x:c>
      <x:c r="C15" s="3" t="n">
        <x:f>'Raw Data'!D22</x:f>
        <x:v>79.71</x:v>
      </x:c>
      <x:c r="D15" s="3" t="n">
        <x:f>'Raw Data'!E22</x:f>
        <x:v>0.15</x:v>
      </x:c>
      <x:c r="E15" s="3" t="n">
        <x:f>'Raw Data'!D23</x:f>
        <x:v>80.76</x:v>
      </x:c>
      <x:c r="F15" s="3" t="n">
        <x:f>'Raw Data'!E23</x:f>
        <x:v>0.14</x:v>
      </x:c>
      <x:c r="G15" s="11">
        <x:f t="shared" si="0"/>
        <x:v>1.05000000000001</x:v>
      </x:c>
    </x:row>
    <x:row r="16">
      <x:c r="A16" s="2" t="s">
        <x:v>30</x:v>
      </x:c>
      <x:c r="B16" s="2" t="s">
        <x:v>27</x:v>
      </x:c>
      <x:c r="C16" s="3" t="n">
        <x:f>'Raw Data'!D24</x:f>
        <x:v>34.54</x:v>
      </x:c>
      <x:c r="D16" s="3">
        <x:v>0.18</x:v>
      </x:c>
      <x:c r="E16" s="3" t="n">
        <x:f>'Raw Data'!D25</x:f>
        <x:v>38.05</x:v>
      </x:c>
      <x:c r="F16" s="3" t="n">
        <x:f>'Raw Data'!E25</x:f>
        <x:v>0.1</x:v>
      </x:c>
      <x:c r="G16" s="11">
        <x:f t="shared" si="0"/>
        <x:v>3.51</x:v>
      </x:c>
    </x:row>
    <x:row r="17">
      <x:c r="A17" s="2" t="s">
        <x:v>30</x:v>
      </x:c>
      <x:c r="B17" s="2" t="s">
        <x:v>28</x:v>
      </x:c>
      <x:c r="C17" s="3" t="n">
        <x:f>'Raw Data'!D26</x:f>
        <x:v>85.25</x:v>
      </x:c>
      <x:c r="D17" s="3" t="n">
        <x:f>'Raw Data'!E26</x:f>
        <x:v>0.21</x:v>
      </x:c>
      <x:c r="E17" s="3" t="n">
        <x:f>'Raw Data'!D27</x:f>
        <x:v>88.49</x:v>
      </x:c>
      <x:c r="F17" s="3" t="n">
        <x:f>'Raw Data'!E27</x:f>
        <x:v>0.25</x:v>
      </x:c>
      <x:c r="G17" s="11">
        <x:f t="shared" si="0"/>
        <x:v>3.23999999999999</x:v>
      </x:c>
    </x:row>
    <x:row r="18" ht="17.549999237060547">
      <x:c r="A18" s="12" t="s">
        <x:v>30</x:v>
      </x:c>
      <x:c r="B18" s="12" t="s">
        <x:v>9</x:v>
      </x:c>
      <x:c r="C18" s="13" t="n">
        <x:f>AVERAGE(C14:C17)</x:f>
        <x:v>66.07749999999999</x:v>
      </x:c>
      <x:c r="D18" s="13"/>
      <x:c r="E18" s="13" t="n">
        <x:f>AVERAGE(E14:E17)</x:f>
        <x:v>69.09750000000001</x:v>
      </x:c>
      <x:c r="F18" s="13"/>
      <x:c r="G18" s="14">
        <x:f t="shared" si="0"/>
        <x:v>3.02</x:v>
      </x:c>
    </x:row>
    <x:row r="19" s="5" customFormat="1">
      <x:c r="A19" s="8" t="s">
        <x:v>31</x:v>
      </x:c>
      <x:c r="B19" s="8" t="s">
        <x:v>25</x:v>
      </x:c>
      <x:c r="C19" s="9" t="n">
        <x:f>'Raw Data'!D28</x:f>
        <x:v>67.56</x:v>
      </x:c>
      <x:c r="D19" s="9">
        <x:v>0.38</x:v>
      </x:c>
      <x:c r="E19" s="9" t="n">
        <x:f>'Raw Data'!D29</x:f>
        <x:v>71.16</x:v>
      </x:c>
      <x:c r="F19" s="9">
        <x:v>0.44</x:v>
      </x:c>
      <x:c r="G19" s="10">
        <x:f t="shared" si="0"/>
        <x:v>3.59999999999999</x:v>
      </x:c>
    </x:row>
    <x:row r="20" s="5" customFormat="1">
      <x:c r="A20" s="8" t="s">
        <x:v>31</x:v>
      </x:c>
      <x:c r="B20" s="8" t="s">
        <x:v>26</x:v>
      </x:c>
      <x:c r="C20" s="9" t="n">
        <x:f>'Raw Data'!D30</x:f>
        <x:v>78.72</x:v>
      </x:c>
      <x:c r="D20" s="9" t="n">
        <x:f>'Raw Data'!E30</x:f>
        <x:v>0.16</x:v>
      </x:c>
      <x:c r="E20" s="9" t="n">
        <x:f>'Raw Data'!D31</x:f>
        <x:v>81.63</x:v>
      </x:c>
      <x:c r="F20" s="9" t="n">
        <x:f>'Raw Data'!E31</x:f>
        <x:v>0.18</x:v>
      </x:c>
      <x:c r="G20" s="10">
        <x:f t="shared" si="0"/>
        <x:v>2.91</x:v>
      </x:c>
    </x:row>
    <x:row r="21" s="6" customFormat="1">
      <x:c r="A21" s="8" t="s">
        <x:v>31</x:v>
      </x:c>
      <x:c r="B21" s="8" t="s">
        <x:v>27</x:v>
      </x:c>
      <x:c r="C21" s="9" t="n">
        <x:f>'Raw Data'!D32</x:f>
        <x:v>40.97</x:v>
      </x:c>
      <x:c r="D21" s="9" t="n">
        <x:f>'Raw Data'!E32</x:f>
        <x:v>0.19</x:v>
      </x:c>
      <x:c r="E21" s="9" t="n">
        <x:f>'Raw Data'!D33</x:f>
        <x:v>46.85</x:v>
      </x:c>
      <x:c r="F21" s="9" t="n">
        <x:f>'Raw Data'!E33</x:f>
        <x:v>0.16</x:v>
      </x:c>
      <x:c r="G21" s="10">
        <x:f t="shared" si="0"/>
        <x:v>5.88</x:v>
      </x:c>
    </x:row>
    <x:row r="22">
      <x:c r="A22" s="2" t="s">
        <x:v>31</x:v>
      </x:c>
      <x:c r="B22" s="2" t="s">
        <x:v>28</x:v>
      </x:c>
      <x:c r="C22" s="3" t="n">
        <x:f>'Raw Data'!D34</x:f>
        <x:v>83.83</x:v>
      </x:c>
      <x:c r="D22" s="3" t="n">
        <x:f>'Raw Data'!E34</x:f>
        <x:v>0.15</x:v>
      </x:c>
      <x:c r="E22" s="3" t="n">
        <x:f>'Raw Data'!D35</x:f>
        <x:v>85.65</x:v>
      </x:c>
      <x:c r="F22" s="3" t="n">
        <x:f>'Raw Data'!E35</x:f>
        <x:v>0.14</x:v>
      </x:c>
      <x:c r="G22" s="11">
        <x:f t="shared" si="0"/>
        <x:v>1.82000000000001</x:v>
      </x:c>
    </x:row>
    <x:row r="23" ht="17.549999237060547">
      <x:c r="A23" s="12" t="s">
        <x:v>31</x:v>
      </x:c>
      <x:c r="B23" s="12" t="s">
        <x:v>9</x:v>
      </x:c>
      <x:c r="C23" s="13" t="n">
        <x:f>AVERAGE(C19:C22)</x:f>
        <x:v>67.77</x:v>
      </x:c>
      <x:c r="D23" s="13"/>
      <x:c r="E23" s="13" t="n">
        <x:f>AVERAGE(E19:E22)</x:f>
        <x:v>71.32249999999999</x:v>
      </x:c>
      <x:c r="F23" s="13"/>
      <x:c r="G23" s="14">
        <x:f t="shared" si="0"/>
        <x:v>3.55</x:v>
      </x:c>
    </x:row>
    <x:row r="24" s="5" customFormat="1">
      <x:c r="A24" s="8" t="s">
        <x:v>32</x:v>
      </x:c>
      <x:c r="B24" s="8" t="s">
        <x:v>25</x:v>
      </x:c>
      <x:c r="C24" s="9">
        <x:v>35.69</x:v>
      </x:c>
      <x:c r="D24" s="9">
        <x:v>0.26</x:v>
      </x:c>
      <x:c r="E24" s="9">
        <x:v>42.27</x:v>
      </x:c>
      <x:c r="F24" s="9">
        <x:v>0.27</x:v>
      </x:c>
      <x:c r="G24" s="10">
        <x:f t="shared" si="0"/>
        <x:v>6.58000000000001</x:v>
      </x:c>
    </x:row>
    <x:row r="25">
      <x:c r="A25" s="2" t="s">
        <x:v>32</x:v>
      </x:c>
      <x:c r="B25" s="2" t="s">
        <x:v>26</x:v>
      </x:c>
      <x:c r="C25" s="3" t="n">
        <x:f>'Raw Data'!D38</x:f>
        <x:v>31.24</x:v>
      </x:c>
      <x:c r="D25" s="3">
        <x:v>0.14</x:v>
      </x:c>
      <x:c r="E25" s="3" t="n">
        <x:f>'Raw Data'!D39</x:f>
        <x:v>31.9</x:v>
      </x:c>
      <x:c r="F25" s="3">
        <x:v>0.15</x:v>
      </x:c>
      <x:c r="G25" s="11">
        <x:f t="shared" si="0"/>
        <x:v>0.66</x:v>
      </x:c>
    </x:row>
    <x:row r="26">
      <x:c r="A26" s="2" t="s">
        <x:v>32</x:v>
      </x:c>
      <x:c r="B26" s="2" t="s">
        <x:v>27</x:v>
      </x:c>
      <x:c r="C26" s="3" t="n">
        <x:f>'Raw Data'!D40</x:f>
        <x:v>11.33</x:v>
      </x:c>
      <x:c r="D26" s="3">
        <x:v>0.24</x:v>
      </x:c>
      <x:c r="E26" s="3" t="n">
        <x:f>'Raw Data'!D41</x:f>
        <x:v>19.43</x:v>
      </x:c>
      <x:c r="F26" s="3">
        <x:v>0.18</x:v>
      </x:c>
      <x:c r="G26" s="11">
        <x:f t="shared" si="0"/>
        <x:v>8.1</x:v>
      </x:c>
    </x:row>
    <x:row r="27">
      <x:c r="A27" s="2" t="s">
        <x:v>32</x:v>
      </x:c>
      <x:c r="B27" s="2" t="s">
        <x:v>28</x:v>
      </x:c>
      <x:c r="C27" s="3" t="n">
        <x:f>'Raw Data'!D42</x:f>
        <x:v>67.32</x:v>
      </x:c>
      <x:c r="D27" s="3">
        <x:v>0.25</x:v>
      </x:c>
      <x:c r="E27" s="3" t="n">
        <x:f>'Raw Data'!D43</x:f>
        <x:v>68.8</x:v>
      </x:c>
      <x:c r="F27" s="3">
        <x:v>0.17</x:v>
      </x:c>
      <x:c r="G27" s="11">
        <x:f t="shared" si="0"/>
        <x:v>1.48</x:v>
      </x:c>
    </x:row>
    <x:row r="28" ht="17.549999237060547">
      <x:c r="A28" s="12" t="s">
        <x:v>32</x:v>
      </x:c>
      <x:c r="B28" s="12" t="s">
        <x:v>9</x:v>
      </x:c>
      <x:c r="C28" s="13" t="n">
        <x:f>AVERAGE(C24:C27)</x:f>
        <x:v>36.394999999999996</x:v>
      </x:c>
      <x:c r="D28" s="13"/>
      <x:c r="E28" s="13" t="n">
        <x:f>AVERAGE(E24:E27)</x:f>
        <x:v>40.599999999999994</x:v>
      </x:c>
      <x:c r="F28" s="13"/>
      <x:c r="G28" s="14" t="n">
        <x:f t="shared" si="0">ROUND(AVERAGE(G24:G27),2)</x:f>
        <x:v>4.21</x:v>
      </x:c>
    </x:row>
    <x:row r="29" s="5" customFormat="1">
      <x:c r="A29" s="8" t="s">
        <x:v>33</x:v>
      </x:c>
      <x:c r="B29" s="8" t="s">
        <x:v>25</x:v>
      </x:c>
      <x:c r="C29" s="9" t="n">
        <x:f>'Raw Data'!D44</x:f>
        <x:v>18.25</x:v>
      </x:c>
      <x:c r="D29" s="9">
        <x:v>0.18</x:v>
      </x:c>
      <x:c r="E29" s="9" t="n">
        <x:f>'Raw Data'!D45</x:f>
        <x:v>30.88</x:v>
      </x:c>
      <x:c r="F29" s="9">
        <x:v>0.21</x:v>
      </x:c>
      <x:c r="G29" s="10">
        <x:f t="shared" si="0"/>
        <x:v>12.63</x:v>
      </x:c>
    </x:row>
    <x:row r="30">
      <x:c r="A30" s="2" t="s">
        <x:v>33</x:v>
      </x:c>
      <x:c r="B30" s="2" t="s">
        <x:v>26</x:v>
      </x:c>
      <x:c r="C30" s="3" t="n">
        <x:f>'Raw Data'!D46</x:f>
        <x:v>53.12</x:v>
      </x:c>
      <x:c r="D30" s="3">
        <x:v>0.12</x:v>
      </x:c>
      <x:c r="E30" s="3" t="n">
        <x:f>'Raw Data'!D47</x:f>
        <x:v>55.05</x:v>
      </x:c>
      <x:c r="F30" s="3">
        <x:v>0.25</x:v>
      </x:c>
      <x:c r="G30" s="11">
        <x:f t="shared" si="0"/>
        <x:v>1.93</x:v>
      </x:c>
    </x:row>
    <x:row r="31">
      <x:c r="A31" s="2" t="s">
        <x:v>33</x:v>
      </x:c>
      <x:c r="B31" s="2" t="s">
        <x:v>27</x:v>
      </x:c>
      <x:c r="C31" s="3" t="n">
        <x:f>'Raw Data'!D48</x:f>
        <x:v>5.02</x:v>
      </x:c>
      <x:c r="D31" s="3">
        <x:v>0.21</x:v>
      </x:c>
      <x:c r="E31" s="3" t="n">
        <x:f>'Raw Data'!D49</x:f>
        <x:v>7.26</x:v>
      </x:c>
      <x:c r="F31" s="3">
        <x:v>0.19</x:v>
      </x:c>
      <x:c r="G31" s="11">
        <x:f t="shared" si="0"/>
        <x:v>2.24</x:v>
      </x:c>
    </x:row>
    <x:row r="32">
      <x:c r="A32" s="2" t="s">
        <x:v>33</x:v>
      </x:c>
      <x:c r="B32" s="2" t="s">
        <x:v>28</x:v>
      </x:c>
      <x:c r="C32" s="3" t="n">
        <x:f>'Raw Data'!D50</x:f>
        <x:v>41.83</x:v>
      </x:c>
      <x:c r="D32" s="3">
        <x:v>0.19</x:v>
      </x:c>
      <x:c r="E32" s="3" t="n">
        <x:f>'Raw Data'!D51</x:f>
        <x:v>48.41</x:v>
      </x:c>
      <x:c r="F32" s="3">
        <x:v>0.21</x:v>
      </x:c>
      <x:c r="G32" s="11">
        <x:f t="shared" si="0"/>
        <x:v>6.58</x:v>
      </x:c>
    </x:row>
    <x:row r="33" ht="17.549999237060547">
      <x:c r="A33" s="12" t="s">
        <x:v>33</x:v>
      </x:c>
      <x:c r="B33" s="12" t="s">
        <x:v>9</x:v>
      </x:c>
      <x:c r="C33" s="13" t="n">
        <x:f>AVERAGE(C29:C32)</x:f>
        <x:v>29.555</x:v>
      </x:c>
      <x:c r="D33" s="13"/>
      <x:c r="E33" s="13" t="n">
        <x:f>AVERAGE(E29:E32)</x:f>
        <x:v>35.4</x:v>
      </x:c>
      <x:c r="F33" s="13"/>
      <x:c r="G33" s="14" t="n">
        <x:f t="shared" si="0">ROUND(AVERAGE(G29:G32),2)</x:f>
        <x:v>5.85</x:v>
      </x:c>
    </x:row>
  </x:sheetData>
  <x:mergeCells>
    <x:mergeCell ref="A1:G1"/>
    <x:mergeCell ref="A2:G2"/>
  </x:mergeCells>
  <x:conditionalFormatting sqref="G4:G33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ea02cfcc1a48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3" customWidth="1"/>
    <x:col min="2" max="2" width="16" customWidth="1"/>
    <x:col min="3" max="3" width="13" customWidth="1"/>
    <x:col min="4" max="5" width="18" customWidth="1"/>
    <x:col min="6" max="6" width="9" customWidth="1"/>
    <x:col min="7" max="7" width="55" customWidth="1"/>
  </x:cols>
  <x:sheetData>
    <x:row r="1">
      <x:c r="A1" s="1" t="s">
        <x:v>34</x:v>
      </x:c>
      <x:c r="B1" s="1"/>
      <x:c r="C1" s="1"/>
      <x:c r="D1" s="1"/>
      <x:c r="E1" s="1"/>
      <x:c r="F1" s="1"/>
      <x:c r="G1" s="1"/>
    </x:row>
    <x:row r="3">
      <x:c r="A3" s="2" t="s">
        <x:v>17</x:v>
      </x:c>
      <x:c r="B3" s="2" t="s">
        <x:v>18</x:v>
      </x:c>
      <x:c r="C3" s="2" t="s">
        <x:v>35</x:v>
      </x:c>
      <x:c r="D3" s="2" t="s">
        <x:v>36</x:v>
      </x:c>
      <x:c r="E3" s="2" t="s">
        <x:v>37</x:v>
      </x:c>
      <x:c r="F3" s="2" t="s">
        <x:v>38</x:v>
      </x:c>
      <x:c r="G3" s="2" t="s">
        <x:v>13</x:v>
      </x:c>
    </x:row>
    <x:row r="4">
      <x:c r="A4" s="2" t="s">
        <x:v>24</x:v>
      </x:c>
      <x:c r="B4" s="2" t="s">
        <x:v>25</x:v>
      </x:c>
      <x:c r="C4" s="2" t="s">
        <x:v>39</x:v>
      </x:c>
      <x:c r="D4" s="3">
        <x:v>61.8</x:v>
      </x:c>
      <x:c r="E4" s="3">
        <x:v>0.19</x:v>
      </x:c>
      <x:c r="F4" s="4">
        <x:v>5</x:v>
      </x:c>
      <x:c r="G4" s="2" t="s">
        <x:v>14</x:v>
      </x:c>
    </x:row>
    <x:row r="5">
      <x:c r="A5" s="2" t="s">
        <x:v>24</x:v>
      </x:c>
      <x:c r="B5" s="2" t="s">
        <x:v>25</x:v>
      </x:c>
      <x:c r="C5" s="2" t="s">
        <x:v>40</x:v>
      </x:c>
      <x:c r="D5" s="3">
        <x:v>71.57</x:v>
      </x:c>
      <x:c r="E5" s="3">
        <x:v>0.24</x:v>
      </x:c>
      <x:c r="F5" s="4">
        <x:v>5</x:v>
      </x:c>
      <x:c r="G5" s="2" t="s">
        <x:v>14</x:v>
      </x:c>
    </x:row>
    <x:row r="6">
      <x:c r="A6" s="2" t="s">
        <x:v>24</x:v>
      </x:c>
      <x:c r="B6" s="2" t="s">
        <x:v>26</x:v>
      </x:c>
      <x:c r="C6" s="2" t="s">
        <x:v>39</x:v>
      </x:c>
      <x:c r="D6" s="3">
        <x:v>61.79</x:v>
      </x:c>
      <x:c r="E6" s="3">
        <x:v>0.05</x:v>
      </x:c>
      <x:c r="F6" s="4">
        <x:v>5</x:v>
      </x:c>
      <x:c r="G6" s="2" t="s">
        <x:v>14</x:v>
      </x:c>
    </x:row>
    <x:row r="7">
      <x:c r="A7" s="2" t="s">
        <x:v>24</x:v>
      </x:c>
      <x:c r="B7" s="2" t="s">
        <x:v>26</x:v>
      </x:c>
      <x:c r="C7" s="2" t="s">
        <x:v>40</x:v>
      </x:c>
      <x:c r="D7" s="3">
        <x:v>65.05</x:v>
      </x:c>
      <x:c r="E7" s="3">
        <x:v>0.06</x:v>
      </x:c>
      <x:c r="F7" s="4">
        <x:v>5</x:v>
      </x:c>
      <x:c r="G7" s="2" t="s">
        <x:v>14</x:v>
      </x:c>
    </x:row>
    <x:row r="8">
      <x:c r="A8" s="2" t="s">
        <x:v>24</x:v>
      </x:c>
      <x:c r="B8" s="2" t="s">
        <x:v>27</x:v>
      </x:c>
      <x:c r="C8" s="2" t="s">
        <x:v>39</x:v>
      </x:c>
      <x:c r="D8" s="3">
        <x:v>35.29</x:v>
      </x:c>
      <x:c r="E8" s="3">
        <x:v>0.12</x:v>
      </x:c>
      <x:c r="F8" s="4">
        <x:v>5</x:v>
      </x:c>
      <x:c r="G8" s="2" t="s">
        <x:v>14</x:v>
      </x:c>
    </x:row>
    <x:row r="9">
      <x:c r="A9" s="2" t="s">
        <x:v>24</x:v>
      </x:c>
      <x:c r="B9" s="2" t="s">
        <x:v>27</x:v>
      </x:c>
      <x:c r="C9" s="2" t="s">
        <x:v>40</x:v>
      </x:c>
      <x:c r="D9" s="3">
        <x:v>48.6</x:v>
      </x:c>
      <x:c r="E9" s="3">
        <x:v>0.15</x:v>
      </x:c>
      <x:c r="F9" s="4">
        <x:v>5</x:v>
      </x:c>
      <x:c r="G9" s="2" t="s">
        <x:v>14</x:v>
      </x:c>
    </x:row>
    <x:row r="10">
      <x:c r="A10" s="2" t="s">
        <x:v>24</x:v>
      </x:c>
      <x:c r="B10" s="2" t="s">
        <x:v>28</x:v>
      </x:c>
      <x:c r="C10" s="2" t="s">
        <x:v>39</x:v>
      </x:c>
      <x:c r="D10" s="3">
        <x:v>79.39</x:v>
      </x:c>
      <x:c r="E10" s="3">
        <x:v>0.12</x:v>
      </x:c>
      <x:c r="F10" s="4">
        <x:v>5</x:v>
      </x:c>
      <x:c r="G10" s="2" t="s">
        <x:v>14</x:v>
      </x:c>
    </x:row>
    <x:row r="11">
      <x:c r="A11" s="2" t="s">
        <x:v>24</x:v>
      </x:c>
      <x:c r="B11" s="2" t="s">
        <x:v>28</x:v>
      </x:c>
      <x:c r="C11" s="2" t="s">
        <x:v>40</x:v>
      </x:c>
      <x:c r="D11" s="3">
        <x:v>80.76</x:v>
      </x:c>
      <x:c r="E11" s="3">
        <x:v>0.1</x:v>
      </x:c>
      <x:c r="F11" s="4">
        <x:v>5</x:v>
      </x:c>
      <x:c r="G11" s="2" t="s">
        <x:v>14</x:v>
      </x:c>
    </x:row>
    <x:row r="12">
      <x:c r="A12" s="2" t="s">
        <x:v>29</x:v>
      </x:c>
      <x:c r="B12" s="2" t="s">
        <x:v>25</x:v>
      </x:c>
      <x:c r="C12" s="2" t="s">
        <x:v>39</x:v>
      </x:c>
      <x:c r="D12" s="3">
        <x:v>40.54</x:v>
      </x:c>
      <x:c r="E12" s="3">
        <x:v>0.15</x:v>
      </x:c>
      <x:c r="F12" s="4">
        <x:v>5</x:v>
      </x:c>
      <x:c r="G12" s="2" t="s">
        <x:v>14</x:v>
      </x:c>
    </x:row>
    <x:row r="13">
      <x:c r="A13" s="2" t="s">
        <x:v>29</x:v>
      </x:c>
      <x:c r="B13" s="2" t="s">
        <x:v>25</x:v>
      </x:c>
      <x:c r="C13" s="2" t="s">
        <x:v>40</x:v>
      </x:c>
      <x:c r="D13" s="3">
        <x:v>51.36</x:v>
      </x:c>
      <x:c r="E13" s="3">
        <x:v>0.17</x:v>
      </x:c>
      <x:c r="F13" s="4">
        <x:v>5</x:v>
      </x:c>
      <x:c r="G13" s="2" t="s">
        <x:v>14</x:v>
      </x:c>
    </x:row>
    <x:row r="14">
      <x:c r="A14" s="2" t="s">
        <x:v>29</x:v>
      </x:c>
      <x:c r="B14" s="2" t="s">
        <x:v>26</x:v>
      </x:c>
      <x:c r="C14" s="2" t="s">
        <x:v>39</x:v>
      </x:c>
      <x:c r="D14" s="3">
        <x:v>75.91</x:v>
      </x:c>
      <x:c r="E14" s="3">
        <x:v>0.12</x:v>
      </x:c>
      <x:c r="F14" s="4">
        <x:v>5</x:v>
      </x:c>
      <x:c r="G14" s="2" t="s">
        <x:v>14</x:v>
      </x:c>
    </x:row>
    <x:row r="15">
      <x:c r="A15" s="2" t="s">
        <x:v>29</x:v>
      </x:c>
      <x:c r="B15" s="2" t="s">
        <x:v>26</x:v>
      </x:c>
      <x:c r="C15" s="2" t="s">
        <x:v>40</x:v>
      </x:c>
      <x:c r="D15" s="3">
        <x:v>76.03</x:v>
      </x:c>
      <x:c r="E15" s="3">
        <x:v>0.11</x:v>
      </x:c>
      <x:c r="F15" s="4">
        <x:v>5</x:v>
      </x:c>
      <x:c r="G15" s="2" t="s">
        <x:v>14</x:v>
      </x:c>
    </x:row>
    <x:row r="16">
      <x:c r="A16" s="2" t="s">
        <x:v>29</x:v>
      </x:c>
      <x:c r="B16" s="2" t="s">
        <x:v>27</x:v>
      </x:c>
      <x:c r="C16" s="2" t="s">
        <x:v>39</x:v>
      </x:c>
      <x:c r="D16" s="3">
        <x:v>16.76</x:v>
      </x:c>
      <x:c r="E16" s="3">
        <x:v>0.05</x:v>
      </x:c>
      <x:c r="F16" s="4">
        <x:v>5</x:v>
      </x:c>
      <x:c r="G16" s="2" t="s">
        <x:v>14</x:v>
      </x:c>
    </x:row>
    <x:row r="17">
      <x:c r="A17" s="2" t="s">
        <x:v>29</x:v>
      </x:c>
      <x:c r="B17" s="2" t="s">
        <x:v>27</x:v>
      </x:c>
      <x:c r="C17" s="2" t="s">
        <x:v>40</x:v>
      </x:c>
      <x:c r="D17" s="3">
        <x:v>20.13</x:v>
      </x:c>
      <x:c r="E17" s="3">
        <x:v>0.03</x:v>
      </x:c>
      <x:c r="F17" s="4">
        <x:v>5</x:v>
      </x:c>
      <x:c r="G17" s="2" t="s">
        <x:v>14</x:v>
      </x:c>
    </x:row>
    <x:row r="18">
      <x:c r="A18" s="2" t="s">
        <x:v>29</x:v>
      </x:c>
      <x:c r="B18" s="2" t="s">
        <x:v>28</x:v>
      </x:c>
      <x:c r="C18" s="2" t="s">
        <x:v>39</x:v>
      </x:c>
      <x:c r="D18" s="3">
        <x:v>72.2</x:v>
      </x:c>
      <x:c r="E18" s="3">
        <x:v>0.09</x:v>
      </x:c>
      <x:c r="F18" s="4">
        <x:v>5</x:v>
      </x:c>
      <x:c r="G18" s="2" t="s">
        <x:v>14</x:v>
      </x:c>
    </x:row>
    <x:row r="19">
      <x:c r="A19" s="2" t="s">
        <x:v>29</x:v>
      </x:c>
      <x:c r="B19" s="2" t="s">
        <x:v>28</x:v>
      </x:c>
      <x:c r="C19" s="2" t="s">
        <x:v>40</x:v>
      </x:c>
      <x:c r="D19" s="3">
        <x:v>75.78</x:v>
      </x:c>
      <x:c r="E19" s="3">
        <x:v>0.05</x:v>
      </x:c>
      <x:c r="F19" s="4">
        <x:v>5</x:v>
      </x:c>
      <x:c r="G19" s="2" t="s">
        <x:v>14</x:v>
      </x:c>
    </x:row>
    <x:row r="20">
      <x:c r="A20" s="2" t="s">
        <x:v>30</x:v>
      </x:c>
      <x:c r="B20" s="2" t="s">
        <x:v>25</x:v>
      </x:c>
      <x:c r="C20" s="2" t="s">
        <x:v>39</x:v>
      </x:c>
      <x:c r="D20" s="3">
        <x:v>64.81</x:v>
      </x:c>
      <x:c r="E20" s="3">
        <x:v>0.21</x:v>
      </x:c>
      <x:c r="F20" s="4">
        <x:v>5</x:v>
      </x:c>
      <x:c r="G20" s="2" t="s">
        <x:v>14</x:v>
      </x:c>
    </x:row>
    <x:row r="21">
      <x:c r="A21" s="2" t="s">
        <x:v>30</x:v>
      </x:c>
      <x:c r="B21" s="2" t="s">
        <x:v>25</x:v>
      </x:c>
      <x:c r="C21" s="2" t="s">
        <x:v>40</x:v>
      </x:c>
      <x:c r="D21" s="3">
        <x:v>69.09</x:v>
      </x:c>
      <x:c r="E21" s="3">
        <x:v>0.23</x:v>
      </x:c>
      <x:c r="F21" s="4">
        <x:v>5</x:v>
      </x:c>
      <x:c r="G21" s="2" t="s">
        <x:v>14</x:v>
      </x:c>
    </x:row>
    <x:row r="22">
      <x:c r="A22" s="2" t="s">
        <x:v>30</x:v>
      </x:c>
      <x:c r="B22" s="2" t="s">
        <x:v>26</x:v>
      </x:c>
      <x:c r="C22" s="2" t="s">
        <x:v>39</x:v>
      </x:c>
      <x:c r="D22" s="3">
        <x:v>79.71</x:v>
      </x:c>
      <x:c r="E22" s="3">
        <x:v>0.15</x:v>
      </x:c>
      <x:c r="F22" s="4">
        <x:v>5</x:v>
      </x:c>
      <x:c r="G22" s="2" t="s">
        <x:v>14</x:v>
      </x:c>
    </x:row>
    <x:row r="23">
      <x:c r="A23" s="2" t="s">
        <x:v>30</x:v>
      </x:c>
      <x:c r="B23" s="2" t="s">
        <x:v>26</x:v>
      </x:c>
      <x:c r="C23" s="2" t="s">
        <x:v>40</x:v>
      </x:c>
      <x:c r="D23" s="3">
        <x:v>80.76</x:v>
      </x:c>
      <x:c r="E23" s="3">
        <x:v>0.14</x:v>
      </x:c>
      <x:c r="F23" s="4">
        <x:v>5</x:v>
      </x:c>
      <x:c r="G23" s="2" t="s">
        <x:v>14</x:v>
      </x:c>
    </x:row>
    <x:row r="24">
      <x:c r="A24" s="2" t="s">
        <x:v>30</x:v>
      </x:c>
      <x:c r="B24" s="2" t="s">
        <x:v>27</x:v>
      </x:c>
      <x:c r="C24" s="2" t="s">
        <x:v>39</x:v>
      </x:c>
      <x:c r="D24" s="3">
        <x:v>34.54</x:v>
      </x:c>
      <x:c r="E24" s="3">
        <x:v>0.08</x:v>
      </x:c>
      <x:c r="F24" s="4">
        <x:v>5</x:v>
      </x:c>
      <x:c r="G24" s="2" t="s">
        <x:v>14</x:v>
      </x:c>
    </x:row>
    <x:row r="25">
      <x:c r="A25" s="2" t="s">
        <x:v>30</x:v>
      </x:c>
      <x:c r="B25" s="2" t="s">
        <x:v>27</x:v>
      </x:c>
      <x:c r="C25" s="2" t="s">
        <x:v>40</x:v>
      </x:c>
      <x:c r="D25" s="3">
        <x:v>38.05</x:v>
      </x:c>
      <x:c r="E25" s="3">
        <x:v>0.1</x:v>
      </x:c>
      <x:c r="F25" s="4">
        <x:v>5</x:v>
      </x:c>
      <x:c r="G25" s="2" t="s">
        <x:v>14</x:v>
      </x:c>
    </x:row>
    <x:row r="26">
      <x:c r="A26" s="2" t="s">
        <x:v>30</x:v>
      </x:c>
      <x:c r="B26" s="2" t="s">
        <x:v>28</x:v>
      </x:c>
      <x:c r="C26" s="2" t="s">
        <x:v>39</x:v>
      </x:c>
      <x:c r="D26" s="3">
        <x:v>85.25</x:v>
      </x:c>
      <x:c r="E26" s="3">
        <x:v>0.21</x:v>
      </x:c>
      <x:c r="F26" s="4">
        <x:v>5</x:v>
      </x:c>
      <x:c r="G26" s="2" t="s">
        <x:v>14</x:v>
      </x:c>
    </x:row>
    <x:row r="27">
      <x:c r="A27" s="2" t="s">
        <x:v>30</x:v>
      </x:c>
      <x:c r="B27" s="2" t="s">
        <x:v>28</x:v>
      </x:c>
      <x:c r="C27" s="2" t="s">
        <x:v>40</x:v>
      </x:c>
      <x:c r="D27" s="3">
        <x:v>88.49</x:v>
      </x:c>
      <x:c r="E27" s="3">
        <x:v>0.25</x:v>
      </x:c>
      <x:c r="F27" s="4">
        <x:v>5</x:v>
      </x:c>
      <x:c r="G27" s="2" t="s">
        <x:v>14</x:v>
      </x:c>
    </x:row>
    <x:row r="28">
      <x:c r="A28" s="2" t="s">
        <x:v>31</x:v>
      </x:c>
      <x:c r="B28" s="2" t="s">
        <x:v>25</x:v>
      </x:c>
      <x:c r="C28" s="2" t="s">
        <x:v>39</x:v>
      </x:c>
      <x:c r="D28" s="3">
        <x:v>67.56</x:v>
      </x:c>
      <x:c r="E28" s="3">
        <x:v>0.22</x:v>
      </x:c>
      <x:c r="F28" s="4">
        <x:v>5</x:v>
      </x:c>
      <x:c r="G28" s="2" t="s">
        <x:v>14</x:v>
      </x:c>
    </x:row>
    <x:row r="29">
      <x:c r="A29" s="2" t="s">
        <x:v>31</x:v>
      </x:c>
      <x:c r="B29" s="2" t="s">
        <x:v>25</x:v>
      </x:c>
      <x:c r="C29" s="2" t="s">
        <x:v>40</x:v>
      </x:c>
      <x:c r="D29" s="3">
        <x:v>71.16</x:v>
      </x:c>
      <x:c r="E29" s="3">
        <x:v>0.26</x:v>
      </x:c>
      <x:c r="F29" s="4">
        <x:v>5</x:v>
      </x:c>
      <x:c r="G29" s="2" t="s">
        <x:v>14</x:v>
      </x:c>
    </x:row>
    <x:row r="30">
      <x:c r="A30" s="2" t="s">
        <x:v>31</x:v>
      </x:c>
      <x:c r="B30" s="2" t="s">
        <x:v>26</x:v>
      </x:c>
      <x:c r="C30" s="2" t="s">
        <x:v>39</x:v>
      </x:c>
      <x:c r="D30" s="3">
        <x:v>78.72</x:v>
      </x:c>
      <x:c r="E30" s="3">
        <x:v>0.16</x:v>
      </x:c>
      <x:c r="F30" s="4">
        <x:v>5</x:v>
      </x:c>
      <x:c r="G30" s="2" t="s">
        <x:v>14</x:v>
      </x:c>
    </x:row>
    <x:row r="31">
      <x:c r="A31" s="2" t="s">
        <x:v>31</x:v>
      </x:c>
      <x:c r="B31" s="2" t="s">
        <x:v>26</x:v>
      </x:c>
      <x:c r="C31" s="2" t="s">
        <x:v>40</x:v>
      </x:c>
      <x:c r="D31" s="3">
        <x:v>81.63</x:v>
      </x:c>
      <x:c r="E31" s="3">
        <x:v>0.18</x:v>
      </x:c>
      <x:c r="F31" s="4">
        <x:v>5</x:v>
      </x:c>
      <x:c r="G31" s="2" t="s">
        <x:v>14</x:v>
      </x:c>
    </x:row>
    <x:row r="32">
      <x:c r="A32" s="2" t="s">
        <x:v>31</x:v>
      </x:c>
      <x:c r="B32" s="2" t="s">
        <x:v>27</x:v>
      </x:c>
      <x:c r="C32" s="2" t="s">
        <x:v>39</x:v>
      </x:c>
      <x:c r="D32" s="3">
        <x:v>40.97</x:v>
      </x:c>
      <x:c r="E32" s="3">
        <x:v>0.19</x:v>
      </x:c>
      <x:c r="F32" s="4">
        <x:v>5</x:v>
      </x:c>
      <x:c r="G32" s="2" t="s">
        <x:v>14</x:v>
      </x:c>
    </x:row>
    <x:row r="33">
      <x:c r="A33" s="2" t="s">
        <x:v>31</x:v>
      </x:c>
      <x:c r="B33" s="2" t="s">
        <x:v>27</x:v>
      </x:c>
      <x:c r="C33" s="2" t="s">
        <x:v>40</x:v>
      </x:c>
      <x:c r="D33" s="3">
        <x:v>46.85</x:v>
      </x:c>
      <x:c r="E33" s="3">
        <x:v>0.16</x:v>
      </x:c>
      <x:c r="F33" s="4">
        <x:v>5</x:v>
      </x:c>
      <x:c r="G33" s="2" t="s">
        <x:v>14</x:v>
      </x:c>
    </x:row>
    <x:row r="34">
      <x:c r="A34" s="2" t="s">
        <x:v>31</x:v>
      </x:c>
      <x:c r="B34" s="2" t="s">
        <x:v>28</x:v>
      </x:c>
      <x:c r="C34" s="2" t="s">
        <x:v>39</x:v>
      </x:c>
      <x:c r="D34" s="3">
        <x:v>83.83</x:v>
      </x:c>
      <x:c r="E34" s="3">
        <x:v>0.15</x:v>
      </x:c>
      <x:c r="F34" s="4">
        <x:v>5</x:v>
      </x:c>
      <x:c r="G34" s="2" t="s">
        <x:v>14</x:v>
      </x:c>
    </x:row>
    <x:row r="35">
      <x:c r="A35" s="2" t="s">
        <x:v>31</x:v>
      </x:c>
      <x:c r="B35" s="2" t="s">
        <x:v>28</x:v>
      </x:c>
      <x:c r="C35" s="2" t="s">
        <x:v>40</x:v>
      </x:c>
      <x:c r="D35" s="3">
        <x:v>85.65</x:v>
      </x:c>
      <x:c r="E35" s="3">
        <x:v>0.14</x:v>
      </x:c>
      <x:c r="F35" s="4">
        <x:v>5</x:v>
      </x:c>
      <x:c r="G35" s="2" t="s">
        <x:v>14</x:v>
      </x:c>
    </x:row>
    <x:row r="36">
      <x:c r="A36" s="2" t="s">
        <x:v>32</x:v>
      </x:c>
      <x:c r="B36" s="2" t="s">
        <x:v>25</x:v>
      </x:c>
      <x:c r="C36" s="2" t="s">
        <x:v>39</x:v>
      </x:c>
      <x:c r="D36" s="3">
        <x:v>36.61</x:v>
      </x:c>
      <x:c r="E36" s="3">
        <x:v>0.07</x:v>
      </x:c>
      <x:c r="F36" s="4">
        <x:v>5</x:v>
      </x:c>
      <x:c r="G36" s="2" t="s">
        <x:v>14</x:v>
      </x:c>
    </x:row>
    <x:row r="37">
      <x:c r="A37" s="2" t="s">
        <x:v>32</x:v>
      </x:c>
      <x:c r="B37" s="2" t="s">
        <x:v>25</x:v>
      </x:c>
      <x:c r="C37" s="2" t="s">
        <x:v>40</x:v>
      </x:c>
      <x:c r="D37" s="3">
        <x:v>43.87</x:v>
      </x:c>
      <x:c r="E37" s="3">
        <x:v>0.08</x:v>
      </x:c>
      <x:c r="F37" s="4">
        <x:v>5</x:v>
      </x:c>
      <x:c r="G37" s="2" t="s">
        <x:v>14</x:v>
      </x:c>
    </x:row>
    <x:row r="38">
      <x:c r="A38" s="2" t="s">
        <x:v>32</x:v>
      </x:c>
      <x:c r="B38" s="2" t="s">
        <x:v>26</x:v>
      </x:c>
      <x:c r="C38" s="2" t="s">
        <x:v>39</x:v>
      </x:c>
      <x:c r="D38" s="3">
        <x:v>31.24</x:v>
      </x:c>
      <x:c r="E38" s="3">
        <x:v>0.03</x:v>
      </x:c>
      <x:c r="F38" s="4">
        <x:v>5</x:v>
      </x:c>
      <x:c r="G38" s="2" t="s">
        <x:v>14</x:v>
      </x:c>
    </x:row>
    <x:row r="39">
      <x:c r="A39" s="2" t="s">
        <x:v>32</x:v>
      </x:c>
      <x:c r="B39" s="2" t="s">
        <x:v>26</x:v>
      </x:c>
      <x:c r="C39" s="2" t="s">
        <x:v>40</x:v>
      </x:c>
      <x:c r="D39" s="3">
        <x:v>31.9</x:v>
      </x:c>
      <x:c r="E39" s="3">
        <x:v>0.05</x:v>
      </x:c>
      <x:c r="F39" s="4">
        <x:v>5</x:v>
      </x:c>
      <x:c r="G39" s="2" t="s">
        <x:v>14</x:v>
      </x:c>
    </x:row>
    <x:row r="40">
      <x:c r="A40" s="2" t="s">
        <x:v>32</x:v>
      </x:c>
      <x:c r="B40" s="2" t="s">
        <x:v>27</x:v>
      </x:c>
      <x:c r="C40" s="2" t="s">
        <x:v>39</x:v>
      </x:c>
      <x:c r="D40" s="3">
        <x:v>11.33</x:v>
      </x:c>
      <x:c r="E40" s="3">
        <x:v>0.05</x:v>
      </x:c>
      <x:c r="F40" s="4">
        <x:v>5</x:v>
      </x:c>
      <x:c r="G40" s="2" t="s">
        <x:v>14</x:v>
      </x:c>
    </x:row>
    <x:row r="41">
      <x:c r="A41" s="2" t="s">
        <x:v>32</x:v>
      </x:c>
      <x:c r="B41" s="2" t="s">
        <x:v>27</x:v>
      </x:c>
      <x:c r="C41" s="2" t="s">
        <x:v>40</x:v>
      </x:c>
      <x:c r="D41" s="3">
        <x:v>19.43</x:v>
      </x:c>
      <x:c r="E41" s="3">
        <x:v>0.07</x:v>
      </x:c>
      <x:c r="F41" s="4">
        <x:v>5</x:v>
      </x:c>
      <x:c r="G41" s="2" t="s">
        <x:v>14</x:v>
      </x:c>
    </x:row>
    <x:row r="42">
      <x:c r="A42" s="2" t="s">
        <x:v>32</x:v>
      </x:c>
      <x:c r="B42" s="2" t="s">
        <x:v>28</x:v>
      </x:c>
      <x:c r="C42" s="2" t="s">
        <x:v>39</x:v>
      </x:c>
      <x:c r="D42" s="3">
        <x:v>67.32</x:v>
      </x:c>
      <x:c r="E42" s="3">
        <x:v>0.08</x:v>
      </x:c>
      <x:c r="F42" s="4">
        <x:v>5</x:v>
      </x:c>
      <x:c r="G42" s="2" t="s">
        <x:v>14</x:v>
      </x:c>
    </x:row>
    <x:row r="43">
      <x:c r="A43" s="2" t="s">
        <x:v>32</x:v>
      </x:c>
      <x:c r="B43" s="2" t="s">
        <x:v>28</x:v>
      </x:c>
      <x:c r="C43" s="2" t="s">
        <x:v>40</x:v>
      </x:c>
      <x:c r="D43" s="3">
        <x:v>68.8</x:v>
      </x:c>
      <x:c r="E43" s="3">
        <x:v>0.07</x:v>
      </x:c>
      <x:c r="F43" s="4">
        <x:v>5</x:v>
      </x:c>
      <x:c r="G43" s="2" t="s">
        <x:v>14</x:v>
      </x:c>
    </x:row>
    <x:row r="44">
      <x:c r="A44" s="2" t="s">
        <x:v>33</x:v>
      </x:c>
      <x:c r="B44" s="2" t="s">
        <x:v>25</x:v>
      </x:c>
      <x:c r="C44" s="2" t="s">
        <x:v>39</x:v>
      </x:c>
      <x:c r="D44" s="3">
        <x:v>18.25</x:v>
      </x:c>
      <x:c r="E44" s="3">
        <x:v>0.05</x:v>
      </x:c>
      <x:c r="F44" s="4">
        <x:v>5</x:v>
      </x:c>
      <x:c r="G44" s="2" t="s">
        <x:v>14</x:v>
      </x:c>
    </x:row>
    <x:row r="45">
      <x:c r="A45" s="2" t="s">
        <x:v>33</x:v>
      </x:c>
      <x:c r="B45" s="2" t="s">
        <x:v>25</x:v>
      </x:c>
      <x:c r="C45" s="2" t="s">
        <x:v>40</x:v>
      </x:c>
      <x:c r="D45" s="3">
        <x:v>30.88</x:v>
      </x:c>
      <x:c r="E45" s="3">
        <x:v>0.07</x:v>
      </x:c>
      <x:c r="F45" s="4">
        <x:v>5</x:v>
      </x:c>
      <x:c r="G45" s="2" t="s">
        <x:v>14</x:v>
      </x:c>
    </x:row>
    <x:row r="46">
      <x:c r="A46" s="2" t="s">
        <x:v>33</x:v>
      </x:c>
      <x:c r="B46" s="2" t="s">
        <x:v>26</x:v>
      </x:c>
      <x:c r="C46" s="2" t="s">
        <x:v>39</x:v>
      </x:c>
      <x:c r="D46" s="3">
        <x:v>53.12</x:v>
      </x:c>
      <x:c r="E46" s="3">
        <x:v>0.04</x:v>
      </x:c>
      <x:c r="F46" s="4">
        <x:v>5</x:v>
      </x:c>
      <x:c r="G46" s="2" t="s">
        <x:v>14</x:v>
      </x:c>
    </x:row>
    <x:row r="47">
      <x:c r="A47" s="2" t="s">
        <x:v>33</x:v>
      </x:c>
      <x:c r="B47" s="2" t="s">
        <x:v>26</x:v>
      </x:c>
      <x:c r="C47" s="2" t="s">
        <x:v>40</x:v>
      </x:c>
      <x:c r="D47" s="3">
        <x:v>55.05</x:v>
      </x:c>
      <x:c r="E47" s="3">
        <x:v>0.06</x:v>
      </x:c>
      <x:c r="F47" s="4">
        <x:v>5</x:v>
      </x:c>
      <x:c r="G47" s="2" t="s">
        <x:v>14</x:v>
      </x:c>
    </x:row>
    <x:row r="48">
      <x:c r="A48" s="2" t="s">
        <x:v>33</x:v>
      </x:c>
      <x:c r="B48" s="2" t="s">
        <x:v>27</x:v>
      </x:c>
      <x:c r="C48" s="2" t="s">
        <x:v>39</x:v>
      </x:c>
      <x:c r="D48" s="3">
        <x:v>5.02</x:v>
      </x:c>
      <x:c r="E48" s="3">
        <x:v>0.03</x:v>
      </x:c>
      <x:c r="F48" s="4">
        <x:v>5</x:v>
      </x:c>
      <x:c r="G48" s="2" t="s">
        <x:v>14</x:v>
      </x:c>
    </x:row>
    <x:row r="49">
      <x:c r="A49" s="2" t="s">
        <x:v>33</x:v>
      </x:c>
      <x:c r="B49" s="2" t="s">
        <x:v>27</x:v>
      </x:c>
      <x:c r="C49" s="2" t="s">
        <x:v>40</x:v>
      </x:c>
      <x:c r="D49" s="3">
        <x:v>7.26</x:v>
      </x:c>
      <x:c r="E49" s="3">
        <x:v>0.09</x:v>
      </x:c>
      <x:c r="F49" s="4">
        <x:v>5</x:v>
      </x:c>
      <x:c r="G49" s="2" t="s">
        <x:v>14</x:v>
      </x:c>
    </x:row>
    <x:row r="50">
      <x:c r="A50" s="2" t="s">
        <x:v>33</x:v>
      </x:c>
      <x:c r="B50" s="2" t="s">
        <x:v>28</x:v>
      </x:c>
      <x:c r="C50" s="2" t="s">
        <x:v>39</x:v>
      </x:c>
      <x:c r="D50" s="3">
        <x:v>41.83</x:v>
      </x:c>
      <x:c r="E50" s="3">
        <x:v>0.06</x:v>
      </x:c>
      <x:c r="F50" s="4">
        <x:v>5</x:v>
      </x:c>
      <x:c r="G50" s="2" t="s">
        <x:v>14</x:v>
      </x:c>
    </x:row>
    <x:row r="51">
      <x:c r="A51" s="2" t="s">
        <x:v>33</x:v>
      </x:c>
      <x:c r="B51" s="2" t="s">
        <x:v>28</x:v>
      </x:c>
      <x:c r="C51" s="2" t="s">
        <x:v>40</x:v>
      </x:c>
      <x:c r="D51" s="3">
        <x:v>48.41</x:v>
      </x:c>
      <x:c r="E51" s="3">
        <x:v>0.04</x:v>
      </x:c>
      <x:c r="F51" s="4">
        <x:v>5</x:v>
      </x:c>
      <x:c r="G51" s="2" t="s">
        <x:v>14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3c2e2240f464b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1" hidden="0" customWidth="1"/>
    <x:col min="4" max="4" width="13" hidden="0" customWidth="1"/>
    <x:col min="5" max="5" width="13" hidden="0" customWidth="1"/>
    <x:col min="6" max="6" width="12" hidden="0" customWidth="1"/>
    <x:col min="7" max="7" width="59" hidden="0" customWidth="1"/>
    <x:col min="8" max="8" width="27" hidden="0" customWidth="1"/>
  </x:cols>
  <x:sheetData>
    <x:row r="1" ht="28" customHeight="1">
      <x:c r="A1" s="24" t="str">
        <x:v>Date</x:v>
      </x:c>
      <x:c r="B1" s="24" t="str">
        <x:v>Location</x:v>
      </x:c>
      <x:c r="C1" s="24" t="str">
        <x:v>Experimental setting</x:v>
      </x:c>
      <x:c r="D1" s="24" t="str">
        <x:v>Before (%)</x:v>
      </x:c>
      <x:c r="E1" s="24" t="str">
        <x:v>After (%)</x:v>
      </x:c>
      <x:c r="F1" s="24" t="str">
        <x:v>Step (pp)</x:v>
      </x:c>
      <x:c r="G1" s="24" t="str">
        <x:v>Basis</x:v>
      </x:c>
      <x:c r="H1" s="24" t="str">
        <x:v>Previous formula / input</x:v>
      </x:c>
    </x:row>
    <x:row r="2" ht="66" customHeight="1">
      <x:c r="A2" s="25" t="str">
        <x:v>2026-09-03</x:v>
      </x:c>
      <x:c r="B2" s="25" t="str">
        <x:v>Figure Data!G13</x:v>
      </x:c>
      <x:c r="C2" s="25" t="str">
        <x:v>Qwen3-VL-2B; mean gain over four benchmarks</x:v>
      </x:c>
      <x:c r="D2" s="26" t="n">
        <x:v>4.48</x:v>
      </x:c>
      <x:c r="E2" s="26" t="n">
        <x:v>4.47</x:v>
      </x:c>
      <x:c r="F2" s="26"/>
      <x:c r="G2" s="25" t="str">
        <x:v>Derived-value synchronization with the current consolidated summary; no experimental mean changed.</x:v>
      </x:c>
      <x:c r="H2" s="25" t="str">
        <x:v>Static input</x:v>
      </x:c>
    </x:row>
    <x:row r="3" ht="66" customHeight="1">
      <x:c r="A3" s="25" t="str">
        <x:v>2026-09-03</x:v>
      </x:c>
      <x:c r="B3" s="25" t="str">
        <x:v>Figure Data!G28</x:v>
      </x:c>
      <x:c r="C3" s="25" t="str">
        <x:v>Kimi-VL-A3B; mean gain over four benchmarks</x:v>
      </x:c>
      <x:c r="D3" s="26" t="n">
        <x:v>4.2</x:v>
      </x:c>
      <x:c r="E3" s="26" t="n">
        <x:v>4.21</x:v>
      </x:c>
      <x:c r="F3" s="26"/>
      <x:c r="G3" s="25" t="str">
        <x:v>Derived-value synchronization with the current consolidated summary; no experimental mean changed.</x:v>
      </x:c>
      <x:c r="H3" s="25" t="str">
        <x:v>Static input</x:v>
      </x:c>
    </x:row>
    <x:row r="4" ht="66" customHeight="1">
      <x:c r="A4" s="25" t="str">
        <x:v>2026-09-03</x:v>
      </x:c>
      <x:c r="B4" s="25" t="str">
        <x:v>Figure Data!G33</x:v>
      </x:c>
      <x:c r="C4" s="25" t="str">
        <x:v>Gemma4-E2B; mean gain over four benchmarks</x:v>
      </x:c>
      <x:c r="D4" s="26" t="n">
        <x:v>5.84</x:v>
      </x:c>
      <x:c r="E4" s="26" t="n">
        <x:v>5.85</x:v>
      </x:c>
      <x:c r="F4" s="26"/>
      <x:c r="G4" s="25" t="str">
        <x:v>Derived-value synchronization with the current consolidated summary; no experimental mean changed.</x:v>
      </x:c>
      <x:c r="H4" s="25" t="str">
        <x:v>Static input</x:v>
      </x:c>
    </x:row>
    <x:row r="5" ht="66" customHeight="1">
      <x:c r="A5" s="25"/>
      <x:c r="B5" s="25"/>
      <x:c r="C5" s="25"/>
      <x:c r="D5" s="25"/>
      <x:c r="E5" s="25"/>
      <x:c r="F5" s="25"/>
      <x:c r="G5" s="25"/>
      <x:c r="H5" s="25"/>
    </x:row>
    <x:row r="6" ht="66" customHeight="1">
      <x:c r="A6" s="25" t="str">
        <x:v>Scope</x:v>
      </x:c>
      <x:c r="B6" s="25" t="str">
        <x:v>Entry / derived-value corrections</x:v>
      </x:c>
      <x:c r="C6" s="25" t="str">
        <x:v>SD, latency, costs, and historical Raw Data unchanged.</x:v>
      </x:c>
      <x:c r="D6" s="25"/>
      <x:c r="E6" s="25"/>
      <x:c r="F6" s="25"/>
      <x:c r="G6" s="25" t="str">
        <x:v>Original files backed up; no original five-run counts were available. Midpoint rule is a processing convention, not new experimental verification.</x:v>
      </x:c>
      <x:c r="H6" s="25" t="str">
        <x:v>Previous N10 Corrections and Confirmation Log sheets preserved.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48" hidden="0" customWidth="1"/>
  </x:cols>
  <x:sheetData>
    <x:row r="1" ht="30" customHeight="1">
      <x:c r="A1" s="28" t="str">
        <x:v>SD reporting authority — author confirmed 2026-09-03</x:v>
      </x:c>
      <x:c r="B1" s="28"/>
      <x:c r="C1" s="28"/>
      <x:c r="D1" s="28"/>
      <x:c r="E1" s="28"/>
      <x:c r="F1" s="28"/>
    </x:row>
    <x:row r="2" ht="25" customHeight="1">
      <x:c r="A2" s="25" t="str">
        <x:v>Use the SD values already reported in the manuscript (Figure Data). Historical source entries are retained for provenance. This confirms the reporting version; SDs are not recomputed or converted.</x:v>
      </x:c>
      <x:c r="B2" s="25"/>
      <x:c r="C2" s="25"/>
      <x:c r="D2" s="25"/>
      <x:c r="E2" s="25"/>
      <x:c r="F2" s="25"/>
    </x:row>
    <x:row r="3" ht="25" customHeight="1">
      <x:c r="A3" s="25"/>
      <x:c r="B3" s="25"/>
      <x:c r="C3" s="25"/>
      <x:c r="D3" s="25"/>
      <x:c r="E3" s="25"/>
      <x:c r="F3" s="25"/>
    </x:row>
    <x:row r="4" ht="36" customHeight="1">
      <x:c r="A4" s="31" t="str">
        <x:v>Setting / scope</x:v>
      </x:c>
      <x:c r="B4" s="31" t="str">
        <x:v>Historical cell</x:v>
      </x:c>
      <x:c r="C4" s="31" t="str">
        <x:v>Historical SD</x:v>
      </x:c>
      <x:c r="D4" s="31" t="str">
        <x:v>Current authority cell</x:v>
      </x:c>
      <x:c r="E4" s="31" t="str">
        <x:v>Selected SD</x:v>
      </x:c>
      <x:c r="F4" s="31" t="str">
        <x:v>Status / provenance</x:v>
      </x:c>
    </x:row>
    <x:row r="5" ht="44" customHeight="1">
      <x:c r="A5" s="25" t="str">
        <x:v>Qwen2.5-VL-7B ImageNet-1K w/o DCI</x:v>
      </x:c>
      <x:c r="B5" s="25" t="str">
        <x:v>Raw Data!E4</x:v>
      </x:c>
      <x:c r="C5" s="26" t="n">
        <x:v>0.19</x:v>
      </x:c>
      <x:c r="D5" s="25" t="str">
        <x:v>Figure Data!D4</x:v>
      </x:c>
      <x:c r="E5" s="26" t="n">
        <x:f>'Figure Data'!D4</x:f>
        <x:v>0.73</x:v>
      </x:c>
      <x:c r="F5" s="25" t="str">
        <x:v>Historical value preserved; manuscript SD selected.</x:v>
      </x:c>
    </x:row>
    <x:row r="6" ht="44" customHeight="1">
      <x:c r="A6" s="25" t="str">
        <x:v>Qwen2.5-VL-7B ImageNet-1K w/ DCI</x:v>
      </x:c>
      <x:c r="B6" s="25" t="str">
        <x:v>Raw Data!E5</x:v>
      </x:c>
      <x:c r="C6" s="26" t="n">
        <x:v>0.24</x:v>
      </x:c>
      <x:c r="D6" s="25" t="str">
        <x:v>Figure Data!F4</x:v>
      </x:c>
      <x:c r="E6" s="26" t="n">
        <x:f>'Figure Data'!F4</x:f>
        <x:v>0.68</x:v>
      </x:c>
      <x:c r="F6" s="25" t="str">
        <x:v>Historical value preserved; manuscript SD selected.</x:v>
      </x:c>
    </x:row>
    <x:row r="7" ht="44" customHeight="1">
      <x:c r="A7" s="25" t="str">
        <x:v>Qwen2.5-VL-7B CIFAR-100 w/o DCI</x:v>
      </x:c>
      <x:c r="B7" s="25" t="str">
        <x:v>Raw Data!E6</x:v>
      </x:c>
      <x:c r="C7" s="26" t="n">
        <x:v>0.05</x:v>
      </x:c>
      <x:c r="D7" s="25" t="str">
        <x:v>Figure Data!D5</x:v>
      </x:c>
      <x:c r="E7" s="26" t="n">
        <x:f>'Figure Data'!D5</x:f>
        <x:v>0.16</x:v>
      </x:c>
      <x:c r="F7" s="25" t="str">
        <x:v>Historical value preserved; manuscript SD selected.</x:v>
      </x:c>
    </x:row>
    <x:row r="8" ht="44" customHeight="1">
      <x:c r="A8" s="25" t="str">
        <x:v>Qwen2.5-VL-7B CIFAR-100 w/ DCI</x:v>
      </x:c>
      <x:c r="B8" s="25" t="str">
        <x:v>Raw Data!E7</x:v>
      </x:c>
      <x:c r="C8" s="26" t="n">
        <x:v>0.06</x:v>
      </x:c>
      <x:c r="D8" s="25" t="str">
        <x:v>Figure Data!F5</x:v>
      </x:c>
      <x:c r="E8" s="26" t="n">
        <x:f>'Figure Data'!F5</x:f>
        <x:v>0.21</x:v>
      </x:c>
      <x:c r="F8" s="25" t="str">
        <x:v>Historical value preserved; manuscript SD selected.</x:v>
      </x:c>
    </x:row>
    <x:row r="9" ht="44" customHeight="1">
      <x:c r="A9" s="25" t="str">
        <x:v>Qwen3-VL-2B ImageNet-1K w/o DCI</x:v>
      </x:c>
      <x:c r="B9" s="25" t="str">
        <x:v>Raw Data!E12</x:v>
      </x:c>
      <x:c r="C9" s="26" t="n">
        <x:v>0.15</x:v>
      </x:c>
      <x:c r="D9" s="25" t="str">
        <x:v>Figure Data!D9</x:v>
      </x:c>
      <x:c r="E9" s="26" t="n">
        <x:f>'Figure Data'!D9</x:f>
        <x:v>0.36</x:v>
      </x:c>
      <x:c r="F9" s="25" t="str">
        <x:v>Historical value preserved; manuscript SD selected.</x:v>
      </x:c>
    </x:row>
    <x:row r="10" ht="44" customHeight="1">
      <x:c r="A10" s="25" t="str">
        <x:v>Qwen3-VL-2B ImageNet-1K w/ DCI</x:v>
      </x:c>
      <x:c r="B10" s="25" t="str">
        <x:v>Raw Data!E13</x:v>
      </x:c>
      <x:c r="C10" s="26" t="n">
        <x:v>0.17</x:v>
      </x:c>
      <x:c r="D10" s="25" t="str">
        <x:v>Figure Data!F9</x:v>
      </x:c>
      <x:c r="E10" s="26" t="n">
        <x:f>'Figure Data'!F9</x:f>
        <x:v>0.32</x:v>
      </x:c>
      <x:c r="F10" s="25" t="str">
        <x:v>Historical value preserved; manuscript SD selected.</x:v>
      </x:c>
    </x:row>
    <x:row r="11" ht="44" customHeight="1">
      <x:c r="A11" s="25" t="str">
        <x:v>Qwen3-VL-2B CUB-200 w/o DCI</x:v>
      </x:c>
      <x:c r="B11" s="25" t="str">
        <x:v>Raw Data!E16</x:v>
      </x:c>
      <x:c r="C11" s="26" t="n">
        <x:v>0.05</x:v>
      </x:c>
      <x:c r="D11" s="25" t="str">
        <x:v>Figure Data!D11</x:v>
      </x:c>
      <x:c r="E11" s="26" t="n">
        <x:f>'Figure Data'!D11</x:f>
        <x:v>0.15</x:v>
      </x:c>
      <x:c r="F11" s="25" t="str">
        <x:v>Historical value preserved; manuscript SD selected.</x:v>
      </x:c>
    </x:row>
    <x:row r="12" ht="44" customHeight="1">
      <x:c r="A12" s="25" t="str">
        <x:v>Qwen3-VL-2B CUB-200 w/ DCI</x:v>
      </x:c>
      <x:c r="B12" s="25" t="str">
        <x:v>Raw Data!E17</x:v>
      </x:c>
      <x:c r="C12" s="26" t="n">
        <x:v>0.03</x:v>
      </x:c>
      <x:c r="D12" s="25" t="str">
        <x:v>Figure Data!F11</x:v>
      </x:c>
      <x:c r="E12" s="26" t="n">
        <x:f>'Figure Data'!F11</x:f>
        <x:v>0.33</x:v>
      </x:c>
      <x:c r="F12" s="25" t="str">
        <x:v>Historical value preserved; manuscript SD selected.</x:v>
      </x:c>
    </x:row>
    <x:row r="13" ht="44" customHeight="1">
      <x:c r="A13" s="25" t="str">
        <x:v>Qwen3-VL-2B Food-101 w/o DCI</x:v>
      </x:c>
      <x:c r="B13" s="25" t="str">
        <x:v>Raw Data!E18</x:v>
      </x:c>
      <x:c r="C13" s="26" t="n">
        <x:v>0.09</x:v>
      </x:c>
      <x:c r="D13" s="25" t="str">
        <x:v>Figure Data!D12</x:v>
      </x:c>
      <x:c r="E13" s="26" t="n">
        <x:f>'Figure Data'!D12</x:f>
        <x:v>0.19</x:v>
      </x:c>
      <x:c r="F13" s="25" t="str">
        <x:v>Historical value preserved; manuscript SD selected.</x:v>
      </x:c>
    </x:row>
    <x:row r="14" ht="44" customHeight="1">
      <x:c r="A14" s="25" t="str">
        <x:v>Qwen3-VL-2B Food-101 w/ DCI</x:v>
      </x:c>
      <x:c r="B14" s="25" t="str">
        <x:v>Raw Data!E19</x:v>
      </x:c>
      <x:c r="C14" s="26" t="n">
        <x:v>0.05</x:v>
      </x:c>
      <x:c r="D14" s="25" t="str">
        <x:v>Figure Data!F12</x:v>
      </x:c>
      <x:c r="E14" s="26" t="n">
        <x:f>'Figure Data'!F12</x:f>
        <x:v>0.15</x:v>
      </x:c>
      <x:c r="F14" s="25" t="str">
        <x:v>Historical value preserved; manuscript SD selected.</x:v>
      </x:c>
    </x:row>
    <x:row r="15" ht="44" customHeight="1">
      <x:c r="A15" s="25" t="str">
        <x:v>Qwen3-VL-4B CUB-200 w/o DCI</x:v>
      </x:c>
      <x:c r="B15" s="25" t="str">
        <x:v>Raw Data!E24</x:v>
      </x:c>
      <x:c r="C15" s="26" t="n">
        <x:v>0.08</x:v>
      </x:c>
      <x:c r="D15" s="25" t="str">
        <x:v>Figure Data!D16</x:v>
      </x:c>
      <x:c r="E15" s="26" t="n">
        <x:f>'Figure Data'!D16</x:f>
        <x:v>0.18</x:v>
      </x:c>
      <x:c r="F15" s="25" t="str">
        <x:v>Historical value preserved; manuscript SD selected.</x:v>
      </x:c>
    </x:row>
    <x:row r="16" ht="44" customHeight="1">
      <x:c r="A16" s="25" t="str">
        <x:v>Qwen3-VL-8B ImageNet-1K w/o DCI</x:v>
      </x:c>
      <x:c r="B16" s="25" t="str">
        <x:v>Raw Data!E28</x:v>
      </x:c>
      <x:c r="C16" s="26" t="n">
        <x:v>0.22</x:v>
      </x:c>
      <x:c r="D16" s="25" t="str">
        <x:v>Figure Data!D19</x:v>
      </x:c>
      <x:c r="E16" s="26" t="n">
        <x:f>'Figure Data'!D19</x:f>
        <x:v>0.38</x:v>
      </x:c>
      <x:c r="F16" s="25" t="str">
        <x:v>Historical value preserved; manuscript SD selected.</x:v>
      </x:c>
    </x:row>
    <x:row r="17" ht="44" customHeight="1">
      <x:c r="A17" s="25" t="str">
        <x:v>Qwen3-VL-8B ImageNet-1K w/ DCI</x:v>
      </x:c>
      <x:c r="B17" s="25" t="str">
        <x:v>Raw Data!E29</x:v>
      </x:c>
      <x:c r="C17" s="26" t="n">
        <x:v>0.26</x:v>
      </x:c>
      <x:c r="D17" s="25" t="str">
        <x:v>Figure Data!F19</x:v>
      </x:c>
      <x:c r="E17" s="26" t="n">
        <x:f>'Figure Data'!F19</x:f>
        <x:v>0.44</x:v>
      </x:c>
      <x:c r="F17" s="25" t="str">
        <x:v>Historical value preserved; manuscript SD selected.</x:v>
      </x:c>
    </x:row>
    <x:row r="18" ht="44" customHeight="1">
      <x:c r="A18" s="25" t="str">
        <x:v>Kimi-VL-A3B ImageNet-1K w/o DCI</x:v>
      </x:c>
      <x:c r="B18" s="25" t="str">
        <x:v>Raw Data!E36</x:v>
      </x:c>
      <x:c r="C18" s="26" t="n">
        <x:v>0.07</x:v>
      </x:c>
      <x:c r="D18" s="25" t="str">
        <x:v>Figure Data!D24</x:v>
      </x:c>
      <x:c r="E18" s="26" t="n">
        <x:f>'Figure Data'!D24</x:f>
        <x:v>0.26</x:v>
      </x:c>
      <x:c r="F18" s="25" t="str">
        <x:v>Historical value preserved; manuscript SD selected.</x:v>
      </x:c>
    </x:row>
    <x:row r="19" ht="44" customHeight="1">
      <x:c r="A19" s="25" t="str">
        <x:v>Kimi-VL-A3B ImageNet-1K w/ DCI</x:v>
      </x:c>
      <x:c r="B19" s="25" t="str">
        <x:v>Raw Data!E37</x:v>
      </x:c>
      <x:c r="C19" s="26" t="n">
        <x:v>0.08</x:v>
      </x:c>
      <x:c r="D19" s="25" t="str">
        <x:v>Figure Data!F24</x:v>
      </x:c>
      <x:c r="E19" s="26" t="n">
        <x:f>'Figure Data'!F24</x:f>
        <x:v>0.27</x:v>
      </x:c>
      <x:c r="F19" s="25" t="str">
        <x:v>Historical value preserved; manuscript SD selected.</x:v>
      </x:c>
    </x:row>
    <x:row r="20" ht="44" customHeight="1">
      <x:c r="A20" s="25" t="str">
        <x:v>Kimi-VL-A3B CIFAR-100 w/o DCI</x:v>
      </x:c>
      <x:c r="B20" s="25" t="str">
        <x:v>Raw Data!E38</x:v>
      </x:c>
      <x:c r="C20" s="26" t="n">
        <x:v>0.03</x:v>
      </x:c>
      <x:c r="D20" s="25" t="str">
        <x:v>Figure Data!D25</x:v>
      </x:c>
      <x:c r="E20" s="26" t="n">
        <x:f>'Figure Data'!D25</x:f>
        <x:v>0.14</x:v>
      </x:c>
      <x:c r="F20" s="25" t="str">
        <x:v>Historical value preserved; manuscript SD selected.</x:v>
      </x:c>
    </x:row>
    <x:row r="21" ht="44" customHeight="1">
      <x:c r="A21" s="25" t="str">
        <x:v>Kimi-VL-A3B CIFAR-100 w/ DCI</x:v>
      </x:c>
      <x:c r="B21" s="25" t="str">
        <x:v>Raw Data!E39</x:v>
      </x:c>
      <x:c r="C21" s="26" t="n">
        <x:v>0.05</x:v>
      </x:c>
      <x:c r="D21" s="25" t="str">
        <x:v>Figure Data!F25</x:v>
      </x:c>
      <x:c r="E21" s="26" t="n">
        <x:f>'Figure Data'!F25</x:f>
        <x:v>0.15</x:v>
      </x:c>
      <x:c r="F21" s="25" t="str">
        <x:v>Historical value preserved; manuscript SD selected.</x:v>
      </x:c>
    </x:row>
    <x:row r="22" ht="44" customHeight="1">
      <x:c r="A22" s="25" t="str">
        <x:v>Kimi-VL-A3B CUB-200 w/o DCI</x:v>
      </x:c>
      <x:c r="B22" s="25" t="str">
        <x:v>Raw Data!E40</x:v>
      </x:c>
      <x:c r="C22" s="26" t="n">
        <x:v>0.05</x:v>
      </x:c>
      <x:c r="D22" s="25" t="str">
        <x:v>Figure Data!D26</x:v>
      </x:c>
      <x:c r="E22" s="26" t="n">
        <x:f>'Figure Data'!D26</x:f>
        <x:v>0.24</x:v>
      </x:c>
      <x:c r="F22" s="25" t="str">
        <x:v>Historical value preserved; manuscript SD selected.</x:v>
      </x:c>
    </x:row>
    <x:row r="23" ht="44" customHeight="1">
      <x:c r="A23" s="25" t="str">
        <x:v>Kimi-VL-A3B CUB-200 w/ DCI</x:v>
      </x:c>
      <x:c r="B23" s="25" t="str">
        <x:v>Raw Data!E41</x:v>
      </x:c>
      <x:c r="C23" s="26" t="n">
        <x:v>0.07</x:v>
      </x:c>
      <x:c r="D23" s="25" t="str">
        <x:v>Figure Data!F26</x:v>
      </x:c>
      <x:c r="E23" s="26" t="n">
        <x:f>'Figure Data'!F26</x:f>
        <x:v>0.18</x:v>
      </x:c>
      <x:c r="F23" s="25" t="str">
        <x:v>Historical value preserved; manuscript SD selected.</x:v>
      </x:c>
    </x:row>
    <x:row r="24" ht="44" customHeight="1">
      <x:c r="A24" s="25" t="str">
        <x:v>Kimi-VL-A3B Food-101 w/o DCI</x:v>
      </x:c>
      <x:c r="B24" s="25" t="str">
        <x:v>Raw Data!E42</x:v>
      </x:c>
      <x:c r="C24" s="26" t="n">
        <x:v>0.08</x:v>
      </x:c>
      <x:c r="D24" s="25" t="str">
        <x:v>Figure Data!D27</x:v>
      </x:c>
      <x:c r="E24" s="26" t="n">
        <x:f>'Figure Data'!D27</x:f>
        <x:v>0.25</x:v>
      </x:c>
      <x:c r="F24" s="25" t="str">
        <x:v>Historical value preserved; manuscript SD selected.</x:v>
      </x:c>
    </x:row>
    <x:row r="25" ht="44" customHeight="1">
      <x:c r="A25" s="25" t="str">
        <x:v>Kimi-VL-A3B Food-101 w/ DCI</x:v>
      </x:c>
      <x:c r="B25" s="25" t="str">
        <x:v>Raw Data!E43</x:v>
      </x:c>
      <x:c r="C25" s="26" t="n">
        <x:v>0.07</x:v>
      </x:c>
      <x:c r="D25" s="25" t="str">
        <x:v>Figure Data!F27</x:v>
      </x:c>
      <x:c r="E25" s="26" t="n">
        <x:f>'Figure Data'!F27</x:f>
        <x:v>0.17</x:v>
      </x:c>
      <x:c r="F25" s="25" t="str">
        <x:v>Historical value preserved; manuscript SD selected.</x:v>
      </x:c>
    </x:row>
    <x:row r="26" ht="44" customHeight="1">
      <x:c r="A26" s="25" t="str">
        <x:v>Gemma4-E2B ImageNet-1K w/o DCI</x:v>
      </x:c>
      <x:c r="B26" s="25" t="str">
        <x:v>Raw Data!E44</x:v>
      </x:c>
      <x:c r="C26" s="26" t="n">
        <x:v>0.05</x:v>
      </x:c>
      <x:c r="D26" s="25" t="str">
        <x:v>Figure Data!D29</x:v>
      </x:c>
      <x:c r="E26" s="26" t="n">
        <x:f>'Figure Data'!D29</x:f>
        <x:v>0.18</x:v>
      </x:c>
      <x:c r="F26" s="25" t="str">
        <x:v>Historical value preserved; manuscript SD selected.</x:v>
      </x:c>
    </x:row>
    <x:row r="27" ht="44" customHeight="1">
      <x:c r="A27" s="25" t="str">
        <x:v>Gemma4-E2B ImageNet-1K w/ DCI</x:v>
      </x:c>
      <x:c r="B27" s="25" t="str">
        <x:v>Raw Data!E45</x:v>
      </x:c>
      <x:c r="C27" s="26" t="n">
        <x:v>0.07</x:v>
      </x:c>
      <x:c r="D27" s="25" t="str">
        <x:v>Figure Data!F29</x:v>
      </x:c>
      <x:c r="E27" s="26" t="n">
        <x:f>'Figure Data'!F29</x:f>
        <x:v>0.21</x:v>
      </x:c>
      <x:c r="F27" s="25" t="str">
        <x:v>Historical value preserved; manuscript SD selected.</x:v>
      </x:c>
    </x:row>
    <x:row r="28" ht="44" customHeight="1">
      <x:c r="A28" s="25" t="str">
        <x:v>Gemma4-E2B CIFAR-100 w/o DCI</x:v>
      </x:c>
      <x:c r="B28" s="25" t="str">
        <x:v>Raw Data!E46</x:v>
      </x:c>
      <x:c r="C28" s="26" t="n">
        <x:v>0.04</x:v>
      </x:c>
      <x:c r="D28" s="25" t="str">
        <x:v>Figure Data!D30</x:v>
      </x:c>
      <x:c r="E28" s="26" t="n">
        <x:f>'Figure Data'!D30</x:f>
        <x:v>0.12</x:v>
      </x:c>
      <x:c r="F28" s="25" t="str">
        <x:v>Historical value preserved; manuscript SD selected.</x:v>
      </x:c>
    </x:row>
    <x:row r="29" ht="44" customHeight="1">
      <x:c r="A29" s="25" t="str">
        <x:v>Gemma4-E2B CIFAR-100 w/ DCI</x:v>
      </x:c>
      <x:c r="B29" s="25" t="str">
        <x:v>Raw Data!E47</x:v>
      </x:c>
      <x:c r="C29" s="26" t="n">
        <x:v>0.06</x:v>
      </x:c>
      <x:c r="D29" s="25" t="str">
        <x:v>Figure Data!F30</x:v>
      </x:c>
      <x:c r="E29" s="26" t="n">
        <x:f>'Figure Data'!F30</x:f>
        <x:v>0.25</x:v>
      </x:c>
      <x:c r="F29" s="25" t="str">
        <x:v>Historical value preserved; manuscript SD selected.</x:v>
      </x:c>
    </x:row>
    <x:row r="30" ht="44" customHeight="1">
      <x:c r="A30" s="25" t="str">
        <x:v>Gemma4-E2B CUB-200 w/o DCI</x:v>
      </x:c>
      <x:c r="B30" s="25" t="str">
        <x:v>Raw Data!E48</x:v>
      </x:c>
      <x:c r="C30" s="26" t="n">
        <x:v>0.03</x:v>
      </x:c>
      <x:c r="D30" s="25" t="str">
        <x:v>Figure Data!D31</x:v>
      </x:c>
      <x:c r="E30" s="26" t="n">
        <x:f>'Figure Data'!D31</x:f>
        <x:v>0.21</x:v>
      </x:c>
      <x:c r="F30" s="25" t="str">
        <x:v>Historical value preserved; manuscript SD selected.</x:v>
      </x:c>
    </x:row>
    <x:row r="31" ht="44" customHeight="1">
      <x:c r="A31" s="25" t="str">
        <x:v>Gemma4-E2B CUB-200 w/ DCI</x:v>
      </x:c>
      <x:c r="B31" s="25" t="str">
        <x:v>Raw Data!E49</x:v>
      </x:c>
      <x:c r="C31" s="26" t="n">
        <x:v>0.09</x:v>
      </x:c>
      <x:c r="D31" s="25" t="str">
        <x:v>Figure Data!F31</x:v>
      </x:c>
      <x:c r="E31" s="26" t="n">
        <x:f>'Figure Data'!F31</x:f>
        <x:v>0.19</x:v>
      </x:c>
      <x:c r="F31" s="25" t="str">
        <x:v>Historical value preserved; manuscript SD selected.</x:v>
      </x:c>
    </x:row>
    <x:row r="32" ht="44" customHeight="1">
      <x:c r="A32" s="25" t="str">
        <x:v>Gemma4-E2B Food-101 w/o DCI</x:v>
      </x:c>
      <x:c r="B32" s="25" t="str">
        <x:v>Raw Data!E50</x:v>
      </x:c>
      <x:c r="C32" s="26" t="n">
        <x:v>0.06</x:v>
      </x:c>
      <x:c r="D32" s="25" t="str">
        <x:v>Figure Data!D32</x:v>
      </x:c>
      <x:c r="E32" s="26" t="n">
        <x:f>'Figure Data'!D32</x:f>
        <x:v>0.19</x:v>
      </x:c>
      <x:c r="F32" s="25" t="str">
        <x:v>Historical value preserved; manuscript SD selected.</x:v>
      </x:c>
    </x:row>
    <x:row r="33" ht="44" customHeight="1">
      <x:c r="A33" s="25" t="str">
        <x:v>Gemma4-E2B Food-101 w/ DCI</x:v>
      </x:c>
      <x:c r="B33" s="25" t="str">
        <x:v>Raw Data!E51</x:v>
      </x:c>
      <x:c r="C33" s="26" t="n">
        <x:v>0.04</x:v>
      </x:c>
      <x:c r="D33" s="25" t="str">
        <x:v>Figure Data!F32</x:v>
      </x:c>
      <x:c r="E33" s="26" t="n">
        <x:f>'Figure Data'!F32</x:f>
        <x:v>0.21</x:v>
      </x:c>
      <x:c r="F33" s="25" t="str">
        <x:v>Historical value preserved; manuscript SD selected.</x:v>
      </x:c>
    </x:row>
  </x:sheetData>
  <x:mergeCells>
    <x:mergeCell ref="A1:F1"/>
    <x:mergeCell ref="A2:F3"/>
  </x:mergeCells>
  <x:pageMargins left="0.7" right="0.7" top="0.75" bottom="0.75" header="0.3" footer="0.3"/>
</x:worksheet>
</file>