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5771bf2b764b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8e75adc804c4805"/>
    <x:sheet xmlns:r="http://schemas.openxmlformats.org/officeDocument/2006/relationships" name="QC" sheetId="2" r:id="R8cd4ad5841254a88"/>
    <x:sheet xmlns:r="http://schemas.openxmlformats.org/officeDocument/2006/relationships" name="Main DCI" sheetId="3" r:id="R6ef657826e984ea3"/>
    <x:sheet xmlns:r="http://schemas.openxmlformats.org/officeDocument/2006/relationships" name="Group Size" sheetId="4" r:id="R458e11327de64a6d"/>
    <x:sheet xmlns:r="http://schemas.openxmlformats.org/officeDocument/2006/relationships" name="Grouping" sheetId="5" r:id="R6bb6db21ece641c4"/>
    <x:sheet xmlns:r="http://schemas.openxmlformats.org/officeDocument/2006/relationships" name="IN21K Group Size" sheetId="6" r:id="R2f6b192301a3434b"/>
    <x:sheet xmlns:r="http://schemas.openxmlformats.org/officeDocument/2006/relationships" name="Scaling Wide" sheetId="7" r:id="R433abe30939b4ca5"/>
    <x:sheet xmlns:r="http://schemas.openxmlformats.org/officeDocument/2006/relationships" name="Scaling Long" sheetId="8" r:id="Rb82021ac10124208"/>
    <x:sheet xmlns:r="http://schemas.openxmlformats.org/officeDocument/2006/relationships" name="Suppression" sheetId="9" r:id="R28e15ecb59be40ce"/>
    <x:sheet xmlns:r="http://schemas.openxmlformats.org/officeDocument/2006/relationships" name="Entropy" sheetId="10" r:id="R61ea085e2d2c4cd6"/>
    <x:sheet xmlns:r="http://schemas.openxmlformats.org/officeDocument/2006/relationships" name="IN21K Main" sheetId="11" r:id="Rb7a85e5b21984cb5"/>
    <x:sheet xmlns:r="http://schemas.openxmlformats.org/officeDocument/2006/relationships" name="TTS" sheetId="12" r:id="R8a3b0055d8e74e5c"/>
    <x:sheet xmlns:r="http://schemas.openxmlformats.org/officeDocument/2006/relationships" name="Confirmation Log" sheetId="13" r:id="Rccd1cf6b22004a33"/>
    <x:sheet xmlns:r="http://schemas.openxmlformats.org/officeDocument/2006/relationships" name="N10 Corrections" sheetId="14" r:id="R893de573b3604541"/>
    <x:sheet xmlns:r="http://schemas.openxmlformats.org/officeDocument/2006/relationships" name="Grid Corrections" sheetId="15" r:id="Rfadfb99e7d09449c"/>
    <x:sheet xmlns:r="http://schemas.openxmlformats.org/officeDocument/2006/relationships" name="Kimi N10 Update" sheetId="16" r:id="R4c1c2a5bc8274187"/>
    <x:sheet xmlns:r="http://schemas.openxmlformats.org/officeDocument/2006/relationships" name="SD Authority" sheetId="17" r:id="R0fd35c6ceb7940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0"/>
    <x:numFmt numFmtId="202" formatCode="0.00%"/>
    <x:numFmt numFmtId="203" formatCode="0.000000"/>
  </x:numFmts>
  <x:fonts count="12">
    <x:font>
      <x:sz val="11"/>
      <x:name val="Carlito"/>
    </x:font>
    <x:font>
      <x:b/>
      <x:sz val="16"/>
      <x:color rgb="FFFFFFFF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sz val="11"/>
      <x:color rgb="FF203040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2"/>
      <x:color rgb="FFFFFFFF"/>
      <x:name val="Carlito"/>
    </x:font>
    <x:font>
      <x:b/>
      <x:sz val="11"/>
      <x:color rgb="FF1B5E20"/>
      <x:name val="Carlito"/>
    </x:font>
    <x:font>
      <x:sz val="11"/>
      <x:color rgb="FF1B5E20"/>
      <x:name val="Carlito"/>
    </x:font>
    <x:font>
      <x:sz val="10"/>
      <x:name val="Arial"/>
    </x:font>
    <x:font>
      <x:b/>
      <x:sz val="10"/>
      <x:name val="Arial"/>
    </x:font>
  </x:fonts>
  <x:fills count="1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245B7E"/>
      </x:patternFill>
    </x:fill>
    <x:fill>
      <x:patternFill patternType="solid">
        <x:fgColor rgb="FFEAF4FA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DCE6F1"/>
      </x:patternFill>
    </x:fill>
  </x:fills>
  <x:borders count="17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163A5A"/>
      </x:left>
      <x:top style="thin">
        <x:color rgb="FF163A5A"/>
      </x:top>
      <x:bottom style="thin">
        <x:color rgb="FF163A5A"/>
      </x:bottom>
    </x:border>
    <x:border>
      <x:top style="thin">
        <x:color rgb="FF163A5A"/>
      </x:top>
      <x:bottom style="thin">
        <x:color rgb="FF163A5A"/>
      </x:bottom>
    </x:border>
    <x:border>
      <x:right style="thin">
        <x:color rgb="FF163A5A"/>
      </x:right>
      <x:top style="thin">
        <x:color rgb="FF163A5A"/>
      </x:top>
      <x:bottom style="thin">
        <x:color rgb="FF163A5A"/>
      </x:bottom>
    </x:border>
    <x:border>
      <x:right style="thin">
        <x:color rgb="FFB7D7EA"/>
      </x:right>
    </x:border>
    <x:border>
      <x:left style="thin">
        <x:color rgb="FFB7D7EA"/>
      </x:left>
      <x:right style="thin">
        <x:color rgb="FFB7D7EA"/>
      </x:right>
    </x:border>
    <x:border>
      <x:left style="thin">
        <x:color rgb="FFB7D7EA"/>
      </x:left>
    </x:border>
    <x:border>
      <x:right style="thin">
        <x:color rgb="FFB7D7EA"/>
      </x:right>
      <x:bottom style="thin">
        <x:color rgb="FFB7D7EA"/>
      </x:bottom>
    </x:border>
    <x:border>
      <x:left style="thin">
        <x:color rgb="FFB7D7EA"/>
      </x:left>
      <x:right style="thin">
        <x:color rgb="FFB7D7EA"/>
      </x:right>
      <x:bottom style="thin">
        <x:color rgb="FFB7D7EA"/>
      </x:bottom>
    </x:border>
    <x:border>
      <x:left style="thin">
        <x:color rgb="FFB7D7EA"/>
      </x:left>
      <x:bottom style="thin">
        <x:color rgb="FFB7D7EA"/>
      </x:bottom>
    </x:border>
    <x:border>
      <x:right style="thin">
        <x:color rgb="FFB7D7EA"/>
      </x:right>
      <x:top style="thin">
        <x:color rgb="FFB7D7EA"/>
      </x:top>
      <x:bottom style="thin">
        <x:color rgb="FFB7D7EA"/>
      </x:bottom>
    </x:border>
    <x:border>
      <x:left style="thin">
        <x:color rgb="FFB7D7EA"/>
      </x:left>
      <x:right style="thin">
        <x:color rgb="FFB7D7EA"/>
      </x:right>
      <x:top style="thin">
        <x:color rgb="FFB7D7EA"/>
      </x:top>
      <x:bottom style="thin">
        <x:color rgb="FFB7D7EA"/>
      </x:bottom>
    </x:border>
    <x:border>
      <x:left style="thin">
        <x:color rgb="FFB7D7EA"/>
      </x:left>
      <x:top style="thin">
        <x:color rgb="FFB7D7EA"/>
      </x:top>
      <x:bottom style="thin">
        <x:color rgb="FFB7D7EA"/>
      </x:bottom>
    </x:border>
    <x:border>
      <x:right style="thin">
        <x:color rgb="FFB7D7EA"/>
      </x:right>
      <x:top style="thin">
        <x:color rgb="FFB7D7EA"/>
      </x:top>
    </x:border>
    <x:border>
      <x:left style="thin">
        <x:color rgb="FFB7D7EA"/>
      </x:left>
      <x:right style="thin">
        <x:color rgb="FFB7D7EA"/>
      </x:right>
      <x:top style="thin">
        <x:color rgb="FFB7D7EA"/>
      </x:top>
    </x:border>
    <x:border>
      <x:left style="thin">
        <x:color rgb="FFB7D7EA"/>
      </x:left>
      <x:top style="thin">
        <x:color rgb="FFB7D7EA"/>
      </x:top>
    </x:border>
  </x:borders>
  <x:cellStyleXfs count="1">
    <x:xf numFmtId="0" fontId="0" fillId="0" borderId="0"/>
  </x:cellStyleXfs>
  <x:cellXfs count="1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200" fontId="2" fillId="3" borderId="3" xfId="0" applyNumberFormat="1" applyFont="1" applyFill="1" applyBorder="1" applyAlignment="1">
      <x:alignment wrapText="1"/>
    </x:xf>
    <x:xf numFmtId="200" fontId="3" fillId="0" borderId="0" xfId="0" applyNumberFormat="1" applyFont="1" applyFill="1" applyBorder="1"/>
    <x:xf numFmtId="201" fontId="2" fillId="3" borderId="3" xfId="0" applyNumberFormat="1" applyFont="1" applyFill="1" applyBorder="1" applyAlignment="1">
      <x:alignment wrapText="1"/>
    </x:xf>
    <x:xf numFmtId="201" fontId="3" fillId="0" borderId="0" xfId="0" applyNumberFormat="1" applyFont="1" applyFill="1" applyBorder="1"/>
    <x:xf numFmtId="200" fontId="3" fillId="4" borderId="0" xfId="0" applyNumberFormat="1" applyFont="1" applyFill="1" applyBorder="1"/>
    <x:xf numFmtId="200" fontId="2" fillId="3" borderId="4" xfId="0" applyNumberFormat="1" applyFont="1" applyFill="1" applyBorder="1" applyAlignment="1">
      <x:alignment wrapText="1"/>
    </x:xf>
    <x:xf numFmtId="202" fontId="3" fillId="0" borderId="0" xfId="0" applyNumberFormat="1" applyFont="1" applyFill="1" applyBorder="1"/>
    <x:xf numFmtId="203" fontId="2" fillId="3" borderId="3" xfId="0" applyNumberFormat="1" applyFont="1" applyFill="1" applyBorder="1" applyAlignment="1">
      <x:alignment wrapText="1"/>
    </x:xf>
    <x:xf numFmtId="203" fontId="3" fillId="0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3" fillId="6" borderId="1" xfId="0" applyNumberFormat="1" applyFont="1" applyFill="1" applyBorder="1"/>
    <x:xf numFmtId="0" fontId="4" fillId="6" borderId="7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5" xfId="0" applyNumberFormat="1" applyFont="1" applyFill="1" applyBorder="1"/>
    <x:xf numFmtId="0" fontId="6" fillId="8" borderId="6" xfId="0" applyNumberFormat="1" applyFont="1" applyFill="1" applyBorder="1"/>
    <x:xf numFmtId="0" fontId="6" fillId="8" borderId="7" xfId="0" applyNumberFormat="1" applyFont="1" applyFill="1" applyBorder="1"/>
    <x:xf numFmtId="0" fontId="6" fillId="8" borderId="5" xfId="0" applyNumberFormat="1" applyFont="1" applyFill="1" applyBorder="1" applyAlignment="1">
      <x:alignment wrapText="1"/>
    </x:xf>
    <x:xf numFmtId="0" fontId="6" fillId="8" borderId="6" xfId="0" applyNumberFormat="1" applyFont="1" applyFill="1" applyBorder="1" applyAlignment="1">
      <x:alignment wrapText="1"/>
    </x:xf>
    <x:xf numFmtId="0" fontId="6" fillId="8" borderId="7" xfId="0" applyNumberFormat="1" applyFont="1" applyFill="1" applyBorder="1" applyAlignment="1">
      <x:alignment wrapText="1"/>
    </x:xf>
    <x:xf numFmtId="0" fontId="6" fillId="8" borderId="5" xfId="0" applyNumberFormat="1" applyFont="1" applyFill="1" applyBorder="1" applyAlignment="1">
      <x:alignment vertical="center" wrapText="1"/>
    </x:xf>
    <x:xf numFmtId="0" fontId="6" fillId="8" borderId="6" xfId="0" applyNumberFormat="1" applyFont="1" applyFill="1" applyBorder="1" applyAlignment="1">
      <x:alignment vertical="center" wrapText="1"/>
    </x:xf>
    <x:xf numFmtId="0" fontId="6" fillId="8" borderId="7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14" xfId="0" applyNumberFormat="1" applyFont="1" applyFill="1" applyBorder="1"/>
    <x:xf numFmtId="0" fontId="4" fillId="0" borderId="15" xfId="0" applyNumberFormat="1" applyFont="1" applyFill="1" applyBorder="1"/>
    <x:xf numFmtId="0" fontId="4" fillId="0" borderId="16" xfId="0" applyNumberFormat="1" applyFont="1" applyFill="1" applyBorder="1"/>
    <x:xf numFmtId="0" fontId="4" fillId="0" borderId="8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0" fontId="4" fillId="0" borderId="10" xfId="0" applyNumberFormat="1" applyFont="1" applyFill="1" applyBorder="1" applyAlignment="1">
      <x:alignment vertical="center"/>
    </x:xf>
    <x:xf numFmtId="0" fontId="4" fillId="0" borderId="11" xfId="0" applyNumberFormat="1" applyFont="1" applyFill="1" applyBorder="1" applyAlignment="1">
      <x:alignment vertical="center"/>
    </x:xf>
    <x:xf numFmtId="0" fontId="4" fillId="0" borderId="12" xfId="0" applyNumberFormat="1" applyFont="1" applyFill="1" applyBorder="1" applyAlignment="1">
      <x:alignment vertical="center"/>
    </x:xf>
    <x:xf numFmtId="0" fontId="4" fillId="0" borderId="13" xfId="0" applyNumberFormat="1" applyFont="1" applyFill="1" applyBorder="1" applyAlignment="1">
      <x:alignment vertical="center"/>
    </x:xf>
    <x:xf numFmtId="0" fontId="4" fillId="0" borderId="14" xfId="0" applyNumberFormat="1" applyFont="1" applyFill="1" applyBorder="1" applyAlignment="1">
      <x:alignment vertical="center"/>
    </x:xf>
    <x:xf numFmtId="0" fontId="4" fillId="0" borderId="15" xfId="0" applyNumberFormat="1" applyFont="1" applyFill="1" applyBorder="1" applyAlignment="1">
      <x:alignment vertical="center"/>
    </x:xf>
    <x:xf numFmtId="0" fontId="4" fillId="0" borderId="16" xfId="0" applyNumberFormat="1" applyFont="1" applyFill="1" applyBorder="1" applyAlignment="1">
      <x:alignment vertical="center"/>
    </x:xf>
    <x:xf numFmtId="0" fontId="4" fillId="9" borderId="8" xfId="0" applyNumberFormat="1" applyFont="1" applyFill="1" applyBorder="1" applyAlignment="1">
      <x:alignment vertical="center"/>
    </x:xf>
    <x:xf numFmtId="0" fontId="4" fillId="9" borderId="9" xfId="0" applyNumberFormat="1" applyFont="1" applyFill="1" applyBorder="1" applyAlignment="1">
      <x:alignment vertical="center"/>
    </x:xf>
    <x:xf numFmtId="0" fontId="4" fillId="9" borderId="10" xfId="0" applyNumberFormat="1" applyFont="1" applyFill="1" applyBorder="1" applyAlignment="1">
      <x:alignment vertical="center"/>
    </x:xf>
    <x:xf numFmtId="0" fontId="4" fillId="9" borderId="11" xfId="0" applyNumberFormat="1" applyFont="1" applyFill="1" applyBorder="1" applyAlignment="1">
      <x:alignment vertical="center"/>
    </x:xf>
    <x:xf numFmtId="0" fontId="4" fillId="9" borderId="12" xfId="0" applyNumberFormat="1" applyFont="1" applyFill="1" applyBorder="1" applyAlignment="1">
      <x:alignment vertical="center"/>
    </x:xf>
    <x:xf numFmtId="0" fontId="4" fillId="9" borderId="13" xfId="0" applyNumberFormat="1" applyFont="1" applyFill="1" applyBorder="1" applyAlignment="1">
      <x:alignment vertical="center"/>
    </x:xf>
    <x:xf numFmtId="0" fontId="4" fillId="9" borderId="14" xfId="0" applyNumberFormat="1" applyFont="1" applyFill="1" applyBorder="1" applyAlignment="1">
      <x:alignment vertical="center"/>
    </x:xf>
    <x:xf numFmtId="0" fontId="4" fillId="9" borderId="15" xfId="0" applyNumberFormat="1" applyFont="1" applyFill="1" applyBorder="1" applyAlignment="1">
      <x:alignment vertical="center"/>
    </x:xf>
    <x:xf numFmtId="0" fontId="4" fillId="9" borderId="16" xfId="0" applyNumberFormat="1" applyFont="1" applyFill="1" applyBorder="1" applyAlignment="1">
      <x:alignment vertical="center"/>
    </x:xf>
    <x:xf numFmtId="0" fontId="4" fillId="6" borderId="9" xfId="0" applyNumberFormat="1" applyFont="1" applyFill="1" applyBorder="1" applyAlignment="1">
      <x:alignment vertical="center"/>
    </x:xf>
    <x:xf numFmtId="0" fontId="4" fillId="6" borderId="12" xfId="0" applyNumberFormat="1" applyFont="1" applyFill="1" applyBorder="1" applyAlignment="1">
      <x:alignment vertical="center"/>
    </x:xf>
    <x:xf numFmtId="0" fontId="4" fillId="6" borderId="15" xfId="0" applyNumberFormat="1" applyFont="1" applyFill="1" applyBorder="1" applyAlignment="1">
      <x:alignment vertical="center"/>
    </x:xf>
    <x:xf numFmtId="0" fontId="8" fillId="6" borderId="9" xfId="0" applyNumberFormat="1" applyFont="1" applyFill="1" applyBorder="1" applyAlignment="1">
      <x:alignment vertical="center"/>
    </x:xf>
    <x:xf numFmtId="0" fontId="8" fillId="6" borderId="12" xfId="0" applyNumberFormat="1" applyFont="1" applyFill="1" applyBorder="1" applyAlignment="1">
      <x:alignment vertical="center"/>
    </x:xf>
    <x:xf numFmtId="0" fontId="8" fillId="6" borderId="15" xfId="0" applyNumberFormat="1" applyFont="1" applyFill="1" applyBorder="1" applyAlignment="1">
      <x:alignment vertical="center"/>
    </x:xf>
    <x:xf numFmtId="0" fontId="9" fillId="6" borderId="9" xfId="0" applyNumberFormat="1" applyFont="1" applyFill="1" applyBorder="1" applyAlignment="1">
      <x:alignment vertical="center"/>
    </x:xf>
    <x:xf numFmtId="0" fontId="9" fillId="6" borderId="12" xfId="0" applyNumberFormat="1" applyFont="1" applyFill="1" applyBorder="1" applyAlignment="1">
      <x:alignment vertical="center"/>
    </x:xf>
    <x:xf numFmtId="0" fontId="9" fillId="6" borderId="15" xfId="0" applyNumberFormat="1" applyFont="1" applyFill="1" applyBorder="1" applyAlignment="1">
      <x:alignment vertical="center"/>
    </x:xf>
    <x:xf numFmtId="201" fontId="4" fillId="9" borderId="9" xfId="0" applyNumberFormat="1" applyFont="1" applyFill="1" applyBorder="1" applyAlignment="1">
      <x:alignment vertical="center"/>
    </x:xf>
    <x:xf numFmtId="201" fontId="4" fillId="0" borderId="12" xfId="0" applyNumberFormat="1" applyFont="1" applyFill="1" applyBorder="1" applyAlignment="1">
      <x:alignment vertical="center"/>
    </x:xf>
    <x:xf numFmtId="201" fontId="4" fillId="9" borderId="12" xfId="0" applyNumberFormat="1" applyFont="1" applyFill="1" applyBorder="1" applyAlignment="1">
      <x:alignment vertical="center"/>
    </x:xf>
    <x:xf numFmtId="201" fontId="4" fillId="9" borderId="15" xfId="0" applyNumberFormat="1" applyFont="1" applyFill="1" applyBorder="1" applyAlignment="1">
      <x:alignment vertical="center"/>
    </x:xf>
    <x:xf numFmtId="201" fontId="4" fillId="0" borderId="15" xfId="0" applyNumberFormat="1" applyFont="1" applyFill="1" applyBorder="1" applyAlignment="1">
      <x:alignment vertical="center"/>
    </x:xf>
    <x:xf numFmtId="0" fontId="4" fillId="9" borderId="8" xfId="0" applyNumberFormat="1" applyFont="1" applyFill="1" applyBorder="1" applyAlignment="1">
      <x:alignment vertical="center" wrapText="1"/>
    </x:xf>
    <x:xf numFmtId="201" fontId="4" fillId="9" borderId="9" xfId="0" applyNumberFormat="1" applyFont="1" applyFill="1" applyBorder="1" applyAlignment="1">
      <x:alignment vertical="center" wrapText="1"/>
    </x:xf>
    <x:xf numFmtId="0" fontId="8" fillId="6" borderId="9" xfId="0" applyNumberFormat="1" applyFont="1" applyFill="1" applyBorder="1" applyAlignment="1">
      <x:alignment vertical="center" wrapText="1"/>
    </x:xf>
    <x:xf numFmtId="0" fontId="4" fillId="9" borderId="10" xfId="0" applyNumberFormat="1" applyFont="1" applyFill="1" applyBorder="1" applyAlignment="1">
      <x:alignment vertical="center" wrapText="1"/>
    </x:xf>
    <x:xf numFmtId="0" fontId="4" fillId="0" borderId="11" xfId="0" applyNumberFormat="1" applyFont="1" applyFill="1" applyBorder="1" applyAlignment="1">
      <x:alignment vertical="center" wrapText="1"/>
    </x:xf>
    <x:xf numFmtId="201" fontId="4" fillId="0" borderId="12" xfId="0" applyNumberFormat="1" applyFont="1" applyFill="1" applyBorder="1" applyAlignment="1">
      <x:alignment vertical="center" wrapText="1"/>
    </x:xf>
    <x:xf numFmtId="0" fontId="8" fillId="6" borderId="12" xfId="0" applyNumberFormat="1" applyFont="1" applyFill="1" applyBorder="1" applyAlignment="1">
      <x:alignment vertical="center" wrapText="1"/>
    </x:xf>
    <x:xf numFmtId="0" fontId="4" fillId="0" borderId="13" xfId="0" applyNumberFormat="1" applyFont="1" applyFill="1" applyBorder="1" applyAlignment="1">
      <x:alignment vertical="center" wrapText="1"/>
    </x:xf>
    <x:xf numFmtId="0" fontId="4" fillId="9" borderId="11" xfId="0" applyNumberFormat="1" applyFont="1" applyFill="1" applyBorder="1" applyAlignment="1">
      <x:alignment vertical="center" wrapText="1"/>
    </x:xf>
    <x:xf numFmtId="201" fontId="4" fillId="9" borderId="12" xfId="0" applyNumberFormat="1" applyFont="1" applyFill="1" applyBorder="1" applyAlignment="1">
      <x:alignment vertical="center" wrapText="1"/>
    </x:xf>
    <x:xf numFmtId="0" fontId="4" fillId="9" borderId="13" xfId="0" applyNumberFormat="1" applyFont="1" applyFill="1" applyBorder="1" applyAlignment="1">
      <x:alignment vertical="center" wrapText="1"/>
    </x:xf>
    <x:xf numFmtId="0" fontId="4" fillId="9" borderId="14" xfId="0" applyNumberFormat="1" applyFont="1" applyFill="1" applyBorder="1" applyAlignment="1">
      <x:alignment vertical="center" wrapText="1"/>
    </x:xf>
    <x:xf numFmtId="201" fontId="4" fillId="9" borderId="15" xfId="0" applyNumberFormat="1" applyFont="1" applyFill="1" applyBorder="1" applyAlignment="1">
      <x:alignment vertical="center" wrapText="1"/>
    </x:xf>
    <x:xf numFmtId="0" fontId="8" fillId="6" borderId="15" xfId="0" applyNumberFormat="1" applyFont="1" applyFill="1" applyBorder="1" applyAlignment="1">
      <x:alignment vertical="center" wrapText="1"/>
    </x:xf>
    <x:xf numFmtId="0" fontId="4" fillId="9" borderId="16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4" fillId="9" borderId="9" xfId="0" applyNumberFormat="1" applyFont="1" applyFill="1" applyBorder="1" applyAlignment="1">
      <x:alignment vertical="center" wrapText="1"/>
    </x:xf>
    <x:xf numFmtId="0" fontId="9" fillId="6" borderId="9" xfId="0" applyNumberFormat="1" applyFont="1" applyFill="1" applyBorder="1" applyAlignment="1">
      <x:alignment vertical="center" wrapText="1"/>
    </x:xf>
    <x:xf numFmtId="0" fontId="4" fillId="0" borderId="12" xfId="0" applyNumberFormat="1" applyFont="1" applyFill="1" applyBorder="1" applyAlignment="1">
      <x:alignment vertical="center" wrapText="1"/>
    </x:xf>
    <x:xf numFmtId="0" fontId="9" fillId="6" borderId="12" xfId="0" applyNumberFormat="1" applyFont="1" applyFill="1" applyBorder="1" applyAlignment="1">
      <x:alignment vertical="center" wrapText="1"/>
    </x:xf>
    <x:xf numFmtId="0" fontId="4" fillId="9" borderId="12" xfId="0" applyNumberFormat="1" applyFont="1" applyFill="1" applyBorder="1" applyAlignment="1">
      <x:alignment vertical="center" wrapText="1"/>
    </x:xf>
    <x:xf numFmtId="0" fontId="4" fillId="0" borderId="14" xfId="0" applyNumberFormat="1" applyFont="1" applyFill="1" applyBorder="1" applyAlignment="1">
      <x:alignment vertical="center" wrapText="1"/>
    </x:xf>
    <x:xf numFmtId="201" fontId="4" fillId="0" borderId="15" xfId="0" applyNumberFormat="1" applyFont="1" applyFill="1" applyBorder="1" applyAlignment="1">
      <x:alignment vertical="center" wrapText="1"/>
    </x:xf>
    <x:xf numFmtId="0" fontId="4" fillId="0" borderId="15" xfId="0" applyNumberFormat="1" applyFont="1" applyFill="1" applyBorder="1" applyAlignment="1">
      <x:alignment vertical="center" wrapText="1"/>
    </x:xf>
    <x:xf numFmtId="0" fontId="9" fillId="6" borderId="15" xfId="0" applyNumberFormat="1" applyFont="1" applyFill="1" applyBorder="1" applyAlignment="1">
      <x:alignment vertical="center" wrapText="1"/>
    </x:xf>
    <x:xf numFmtId="0" fontId="4" fillId="0" borderId="16" xfId="0" applyNumberFormat="1" applyFont="1" applyFill="1" applyBorder="1" applyAlignment="1">
      <x:alignment vertical="center" wrapText="1"/>
    </x:xf>
    <x:xf numFmtId="0" fontId="8" fillId="10" borderId="12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10" fillId="11" borderId="0" xfId="0" applyNumberFormat="1" applyFont="1" applyFill="1" applyBorder="1"/>
    <x:xf numFmtId="0" fontId="2" fillId="11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200" fontId="10" fillId="0" borderId="0" xfId="0" applyNumberFormat="1" applyFont="1" applyFill="1" applyBorder="1" applyAlignment="1">
      <x:alignment wrapText="1"/>
    </x:xf>
    <x:xf numFmtId="0" fontId="10" fillId="12" borderId="0" xfId="0" applyNumberFormat="1" applyFont="1" applyFill="1" applyBorder="1"/>
    <x:xf numFmtId="0" fontId="2" fillId="12" borderId="0" xfId="0" applyNumberFormat="1" applyFont="1" applyFill="1" applyBorder="1"/>
    <x:xf numFmtId="0" fontId="10" fillId="13" borderId="0" xfId="0" applyNumberFormat="1" applyFont="1" applyFill="1" applyBorder="1"/>
    <x:xf numFmtId="0" fontId="2" fillId="13" borderId="0" xfId="0" applyNumberFormat="1" applyFont="1" applyFill="1" applyBorder="1"/>
    <x:xf numFmtId="0" fontId="10" fillId="14" borderId="0" xfId="0" applyNumberFormat="1" applyFont="1" applyFill="1" applyBorder="1"/>
    <x:xf numFmtId="0" fontId="2" fillId="14" borderId="0" xfId="0" applyNumberFormat="1" applyFont="1" applyFill="1" applyBorder="1"/>
    <x:xf numFmtId="0" fontId="2" fillId="14" borderId="0" xfId="0" applyNumberFormat="1" applyFont="1" applyFill="1" applyBorder="1" applyAlignment="1">
      <x:alignment wrapText="1"/>
    </x:xf>
    <x:xf numFmtId="200" fontId="10" fillId="0" borderId="0" xfId="0" applyNumberFormat="1" applyFont="1" applyFill="1" applyBorder="1"/>
    <x:xf numFmtId="0" fontId="10" fillId="15" borderId="0" xfId="0" applyNumberFormat="1" applyFont="1" applyFill="1" applyBorder="1"/>
    <x:xf numFmtId="0" fontId="2" fillId="15" borderId="0" xfId="0" applyNumberFormat="1" applyFont="1" applyFill="1" applyBorder="1"/>
    <x:xf numFmtId="0" fontId="10" fillId="16" borderId="0" xfId="0" applyNumberFormat="1" applyFont="1" applyFill="1" applyBorder="1"/>
    <x:xf numFmtId="0" fontId="11" fillId="16" borderId="0" xfId="0" applyNumberFormat="1" applyFont="1" applyFill="1" applyBorder="1"/>
    <x:xf numFmtId="0" fontId="11" fillId="16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006100"/>
      </x:font>
      <x:fill>
        <x:patternFill>
          <x:bgColor rgb="FFE2F0D9"/>
        </x:patternFill>
      </x:fill>
    </x:dxf>
    <x:dxf>
      <x:font>
        <x:color rgb="FF006100"/>
      </x:font>
      <x:fill>
        <x:patternFill>
          <x:bgColor rgb="FFE2F0D9"/>
        </x:patternFill>
      </x:fill>
    </x:dxf>
    <x:dxf>
      <x:font>
        <x:color rgb="FF006100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6504b6a88b4635" /><Relationship Type="http://schemas.openxmlformats.org/officeDocument/2006/relationships/theme" Target="/xl/theme/theme1.xml" Id="R5b135575885744f7" /><Relationship Type="http://schemas.openxmlformats.org/officeDocument/2006/relationships/sharedStrings" Target="/xl/sharedStrings.xml" Id="R7e9b4f2be7a24127" /><Relationship Type="http://schemas.openxmlformats.org/officeDocument/2006/relationships/worksheet" Target="/xl/worksheets/sheet1.xml" Id="Rf8e75adc804c4805" /><Relationship Type="http://schemas.openxmlformats.org/officeDocument/2006/relationships/worksheet" Target="/xl/worksheets/sheet2.xml" Id="R8cd4ad5841254a88" /><Relationship Type="http://schemas.openxmlformats.org/officeDocument/2006/relationships/worksheet" Target="/xl/worksheets/sheet3.xml" Id="R6ef657826e984ea3" /><Relationship Type="http://schemas.openxmlformats.org/officeDocument/2006/relationships/worksheet" Target="/xl/worksheets/sheet4.xml" Id="R458e11327de64a6d" /><Relationship Type="http://schemas.openxmlformats.org/officeDocument/2006/relationships/worksheet" Target="/xl/worksheets/sheet5.xml" Id="R6bb6db21ece641c4" /><Relationship Type="http://schemas.openxmlformats.org/officeDocument/2006/relationships/worksheet" Target="/xl/worksheets/sheet6.xml" Id="R2f6b192301a3434b" /><Relationship Type="http://schemas.openxmlformats.org/officeDocument/2006/relationships/worksheet" Target="/xl/worksheets/sheet7.xml" Id="R433abe30939b4ca5" /><Relationship Type="http://schemas.openxmlformats.org/officeDocument/2006/relationships/worksheet" Target="/xl/worksheets/sheet8.xml" Id="Rb82021ac10124208" /><Relationship Type="http://schemas.openxmlformats.org/officeDocument/2006/relationships/worksheet" Target="/xl/worksheets/sheet9.xml" Id="R28e15ecb59be40ce" /><Relationship Type="http://schemas.openxmlformats.org/officeDocument/2006/relationships/worksheet" Target="/xl/worksheets/sheet10.xml" Id="R61ea085e2d2c4cd6" /><Relationship Type="http://schemas.openxmlformats.org/officeDocument/2006/relationships/worksheet" Target="/xl/worksheets/sheet11.xml" Id="Rb7a85e5b21984cb5" /><Relationship Type="http://schemas.openxmlformats.org/officeDocument/2006/relationships/worksheet" Target="/xl/worksheets/sheet12.xml" Id="R8a3b0055d8e74e5c" /><Relationship Type="http://schemas.openxmlformats.org/officeDocument/2006/relationships/worksheet" Target="/xl/worksheets/sheet13.xml" Id="Rccd1cf6b22004a33" /><Relationship Type="http://schemas.openxmlformats.org/officeDocument/2006/relationships/worksheet" Target="/xl/worksheets/sheet14.xml" Id="R893de573b3604541" /><Relationship Type="http://schemas.openxmlformats.org/officeDocument/2006/relationships/worksheet" Target="/xl/worksheets/sheet15.xml" Id="Rfadfb99e7d09449c" /><Relationship Type="http://schemas.openxmlformats.org/officeDocument/2006/relationships/worksheet" Target="/xl/worksheets/sheet16.xml" Id="R4c1c2a5bc8274187" /><Relationship Type="http://schemas.openxmlformats.org/officeDocument/2006/relationships/worksheet" Target="/xl/worksheets/sheet17.xml" Id="R0fd35c6ceb79409b" /></Relationships>
</file>

<file path=xl/tables/table1.xml><?xml version="1.0" encoding="utf-8"?>
<x:table xmlns:x="http://schemas.openxmlformats.org/spreadsheetml/2006/main" id="2" name="MainDCIData" displayName="MainDCIData" ref="A1:J31" headerRowCount="1" totalsRowCount="0" totalsRowShown="0">
  <x:autoFilter ref="A1:J31"/>
  <x:tableColumns count="10">
    <x:tableColumn id="1" name="Model"/>
    <x:tableColumn id="2" name="Dataset"/>
    <x:tableColumn id="3" name="w/o DCI Mean (%)"/>
    <x:tableColumn id="4" name="w/o DCI SD (pp)"/>
    <x:tableColumn id="5" name="w/ DCI Mean (%)"/>
    <x:tableColumn id="6" name="w/ DCI SD (pp)"/>
    <x:tableColumn id="7" name="Delta (pp)"/>
    <x:tableColumn id="8" name="Runs"/>
    <x:tableColumn id="9" name="Source Workbook"/>
    <x:tableColumn id="10" name="Authority Shee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GroupSizeData" displayName="GroupSizeData" ref="A1:K25" headerRowCount="1" totalsRowCount="0" totalsRowShown="0">
  <x:autoFilter ref="A1:K25"/>
  <x:tableColumns count="11">
    <x:tableColumn id="1" name="Model"/>
    <x:tableColumn id="2" name="Dataset"/>
    <x:tableColumn id="3" name="Metric"/>
    <x:tableColumn id="4" name="Configuration"/>
    <x:tableColumn id="5" name="Group Size B"/>
    <x:tableColumn id="6" name="Mean"/>
    <x:tableColumn id="7" name="SD"/>
    <x:tableColumn id="8" name="Unit"/>
    <x:tableColumn id="9" name="Runs"/>
    <x:tableColumn id="10" name="Source Workbook"/>
    <x:tableColumn id="11" name="Authority Shee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GroupingData" displayName="GroupingData" ref="A1:J7" headerRowCount="1" totalsRowCount="0" totalsRowShown="0">
  <x:autoFilter ref="A1:J7"/>
  <x:tableColumns count="10">
    <x:tableColumn id="1" name="Model"/>
    <x:tableColumn id="2" name="Dataset"/>
    <x:tableColumn id="3" name="Grouping Strategy"/>
    <x:tableColumn id="4" name="Group Size B"/>
    <x:tableColumn id="5" name="Mean Accuracy (%)"/>
    <x:tableColumn id="6" name="SD (pp)"/>
    <x:tableColumn id="7" name="Unit"/>
    <x:tableColumn id="8" name="Runs"/>
    <x:tableColumn id="9" name="Source Workbook"/>
    <x:tableColumn id="10" name="Authority Shee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5" name="IN21KGroupSizeData" displayName="IN21KGroupSizeData" ref="A1:K25" headerRowCount="1" totalsRowCount="0" totalsRowShown="0">
  <x:autoFilter ref="A1:K25"/>
  <x:tableColumns count="11">
    <x:tableColumn id="1" name="Model"/>
    <x:tableColumn id="2" name="Dataset"/>
    <x:tableColumn id="3" name="Metric"/>
    <x:tableColumn id="4" name="Configuration"/>
    <x:tableColumn id="5" name="Group Size B"/>
    <x:tableColumn id="6" name="Mean"/>
    <x:tableColumn id="7" name="SD"/>
    <x:tableColumn id="8" name="Unit"/>
    <x:tableColumn id="9" name="Runs"/>
    <x:tableColumn id="10" name="Source Workbook"/>
    <x:tableColumn id="11" name="Authority Shee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6" name="ScalingWideData" displayName="ScalingWideData" ref="A1:M11" headerRowCount="1" totalsRowCount="0" totalsRowShown="0">
  <x:autoFilter ref="A1:M11"/>
  <x:tableColumns count="13">
    <x:tableColumn id="1" name="Model"/>
    <x:tableColumn id="2" name="N=10 Mean"/>
    <x:tableColumn id="3" name="N=10 SD"/>
    <x:tableColumn id="4" name="N=20 Mean"/>
    <x:tableColumn id="5" name="N=20 SD"/>
    <x:tableColumn id="6" name="N=100 Mean"/>
    <x:tableColumn id="7" name="N=100 SD"/>
    <x:tableColumn id="8" name="N=200 Mean"/>
    <x:tableColumn id="9" name="N=200 SD"/>
    <x:tableColumn id="10" name="N=500 Mean"/>
    <x:tableColumn id="11" name="N=500 SD"/>
    <x:tableColumn id="12" name="N=1000 Mean"/>
    <x:tableColumn id="13" name="N=1000 S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7" name="ScalingLongData" displayName="ScalingLongData" ref="A1:G61" headerRowCount="1" totalsRowCount="0" totalsRowShown="0">
  <x:autoFilter ref="A1:G61"/>
  <x:tableColumns count="7">
    <x:tableColumn id="1" name="Model"/>
    <x:tableColumn id="2" name="Candidate Classes N"/>
    <x:tableColumn id="3" name="Mean Top-1 Accuracy (%)"/>
    <x:tableColumn id="4" name="SD (pp)"/>
    <x:tableColumn id="5" name="Unit"/>
    <x:tableColumn id="6" name="Source Workbook"/>
    <x:tableColumn id="7" name="Authority Shee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8" name="SuppressionData" displayName="SuppressionData" ref="A1:L37" headerRowCount="1" totalsRowCount="0" totalsRowShown="0">
  <x:autoFilter ref="A1:L37"/>
  <x:tableColumns count="12">
    <x:tableColumn id="1" name="Model Key"/>
    <x:tableColumn id="2" name="Panel"/>
    <x:tableColumn id="3" name="Model"/>
    <x:tableColumn id="4" name="Candidate Classes N"/>
    <x:tableColumn id="5" name="Baseline Mean (%)"/>
    <x:tableColumn id="6" name="Baseline SD (pp)"/>
    <x:tableColumn id="7" name="DCI Mean (%)"/>
    <x:tableColumn id="8" name="DCI SD (pp)"/>
    <x:tableColumn id="9" name="Gain (pp)"/>
    <x:tableColumn id="10" name="Unit"/>
    <x:tableColumn id="11" name="Source Workbook"/>
    <x:tableColumn id="12" name="Authority Shee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9" name="EntropyData" displayName="EntropyData" ref="A1:G25" headerRowCount="1" totalsRowCount="0" totalsRowShown="0">
  <x:autoFilter ref="A1:G25"/>
  <x:tableColumns count="7">
    <x:tableColumn id="1" name="Model"/>
    <x:tableColumn id="2" name="Candidate Classes N"/>
    <x:tableColumn id="3" name="Mean R_N"/>
    <x:tableColumn id="4" name="SD R_N"/>
    <x:tableColumn id="5" name="Unit"/>
    <x:tableColumn id="6" name="Source Workbook"/>
    <x:tableColumn id="7" name="Authority Sheet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10" name="IN21KMainData" displayName="IN21KMainData" ref="A1:K11" headerRowCount="1" totalsRowCount="0" totalsRowShown="0">
  <x:autoFilter ref="A1:K11"/>
  <x:tableColumns count="11">
    <x:tableColumn id="1" name="Deployment"/>
    <x:tableColumn id="2" name="Model"/>
    <x:tableColumn id="3" name="Baseline Mean (%)"/>
    <x:tableColumn id="4" name="Baseline SD (pp)"/>
    <x:tableColumn id="5" name="Baseline Cost (USD/image)"/>
    <x:tableColumn id="6" name="DCI Mean (%)"/>
    <x:tableColumn id="7" name="DCI SD (pp)"/>
    <x:tableColumn id="8" name="DCI Cost (USD/image)"/>
    <x:tableColumn id="9" name="Improvement (pp)"/>
    <x:tableColumn id="10" name="Source Workbook"/>
    <x:tableColumn id="11" name="Authority Sheet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1" name="TTSData" displayName="TTSData" ref="A1:P25" headerRowCount="1" totalsRowCount="0" totalsRowShown="0">
  <x:autoFilter ref="A1:P25"/>
  <x:tableColumns count="16">
    <x:tableColumn id="1" name="Dataset"/>
    <x:tableColumn id="2" name="Panel"/>
    <x:tableColumn id="3" name="Method Key"/>
    <x:tableColumn id="4" name="Method"/>
    <x:tableColumn id="5" name="Accuracy Mean (%)"/>
    <x:tableColumn id="6" name="Accuracy Std"/>
    <x:tableColumn id="7" name="Latency Mean (s/image)"/>
    <x:tableColumn id="8" name="Latency Std"/>
    <x:tableColumn id="9" name="Independent Runs"/>
    <x:tableColumn id="10" name="Scaling Category"/>
    <x:tableColumn id="11" name="Execution Mode"/>
    <x:tableColumn id="12" name="Parallel Samples"/>
    <x:tableColumn id="13" name="Aggregation Calls"/>
    <x:tableColumn id="14" name="Notes"/>
    <x:tableColumn id="15" name="Source Workbook"/>
    <x:tableColumn id="16" name="Authority Shee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1445354d2bd44e2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8ceac09fe94f4df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8508d25ab8754c3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727b839f3051412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4af0d89f058d47c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0e6b336287c343e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770a84d68fc1477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f4c3f6694d324df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5503ed6157946b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e4bd09e9abb443a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7" hidden="0" customWidth="1"/>
    <x:col min="3" max="3" width="22" hidden="0" customWidth="1"/>
    <x:col min="4" max="4" width="20" hidden="0" customWidth="1"/>
    <x:col min="5" max="5" width="52" hidden="0" customWidth="1"/>
    <x:col min="6" max="6" width="14" hidden="0" customWidth="1"/>
  </x:cols>
  <x:sheetData>
    <x:row r="1" ht="34" customHeight="1">
      <x:c r="A1" s="2" t="str">
        <x:v>DCI 数据整理汇总</x:v>
      </x:c>
      <x:c r="B1" s="2"/>
      <x:c r="C1" s="2"/>
      <x:c r="D1" s="2"/>
      <x:c r="E1" s="2"/>
      <x:c r="F1" s="2"/>
    </x:row>
    <x:row r="3" ht="30" customHeight="1">
      <x:c r="A3" s="7" t="str">
        <x:v>Dataset block</x:v>
      </x:c>
      <x:c r="B3" s="7" t="str">
        <x:v>Source workbook</x:v>
      </x:c>
      <x:c r="C3" s="7" t="str">
        <x:v>Authority sheet</x:v>
      </x:c>
      <x:c r="D3" s="7" t="str">
        <x:v>Output sheet</x:v>
      </x:c>
      <x:c r="E3" s="7" t="str">
        <x:v>Rule / transformation</x:v>
      </x:c>
      <x:c r="F3" s="7" t="str">
        <x:v>QC status</x:v>
      </x:c>
    </x:row>
    <x:row r="4">
      <x:c r="A4" s="8" t="str">
        <x:v>Main DCI</x:v>
      </x:c>
      <x:c r="B4" s="8" t="str">
        <x:v>主图.xlsx</x:v>
      </x:c>
      <x:c r="C4" s="8" t="str">
        <x:v>Figure Data</x:v>
      </x:c>
      <x:c r="D4" s="8" t="str">
        <x:v>Main DCI</x:v>
      </x:c>
      <x:c r="E4" s="9" t="str">
        <x:v>Means and SD copied; delta recalculated from authoritative means</x:v>
      </x:c>
      <x:c r="F4" s="35" t="str">
        <x:v>Cross-table checked</x:v>
      </x:c>
    </x:row>
    <x:row r="5">
      <x:c r="A5" s="8" t="str">
        <x:v>Group-size trade-off</x:v>
      </x:c>
      <x:c r="B5" s="8" t="str">
        <x:v>gs_消融.xlsx</x:v>
      </x:c>
      <x:c r="C5" s="8" t="str">
        <x:v>Figure Data</x:v>
      </x:c>
      <x:c r="D5" s="8" t="str">
        <x:v>Group Size</x:v>
      </x:c>
      <x:c r="E5" s="9" t="str">
        <x:v>Converted to one observation per dataset/metric/configuration</x:v>
      </x:c>
      <x:c r="F5" s="35" t="str">
        <x:v>Cross-table checked</x:v>
      </x:c>
    </x:row>
    <x:row r="6">
      <x:c r="A6" s="8" t="str">
        <x:v>Grouping strategy</x:v>
      </x:c>
      <x:c r="B6" s="8" t="str">
        <x:v>分组策略.xlsx</x:v>
      </x:c>
      <x:c r="C6" s="8" t="str">
        <x:v>Table 1</x:v>
      </x:c>
      <x:c r="D6" s="8" t="str">
        <x:v>Grouping</x:v>
      </x:c>
      <x:c r="E6" s="9" t="str">
        <x:v>Mean ± SD strings parsed into numeric columns</x:v>
      </x:c>
      <x:c r="F6" s="35" t="str">
        <x:v>Cross-table checked</x:v>
      </x:c>
    </x:row>
    <x:row r="7">
      <x:c r="A7" s="8" t="str">
        <x:v>ImageNet-21K group size</x:v>
      </x:c>
      <x:c r="B7" s="8" t="str">
        <x:v>imagenet21k_gs消融.xlsx</x:v>
      </x:c>
      <x:c r="C7" s="8" t="str">
        <x:v>Paper Table</x:v>
      </x:c>
      <x:c r="D7" s="8" t="str">
        <x:v>IN21K Group Size</x:v>
      </x:c>
      <x:c r="E7" s="9" t="str">
        <x:v>Paper Table treated as figure-ready authority</x:v>
      </x:c>
      <x:c r="F7" s="35" t="str">
        <x:v>Cross-table checked</x:v>
      </x:c>
    </x:row>
    <x:row r="8">
      <x:c r="A8" s="8" t="str">
        <x:v>Scaling</x:v>
      </x:c>
      <x:c r="B8" s="8" t="str">
        <x:v>scaling_performance_data.xlsx</x:v>
      </x:c>
      <x:c r="C8" s="8" t="str">
        <x:v>Wide format</x:v>
      </x:c>
      <x:c r="D8" s="8" t="str">
        <x:v>Scaling Wide / Long</x:v>
      </x:c>
      <x:c r="E8" s="9" t="str">
        <x:v>Long sheet is formula-linked to Wide; N=1000 LLaMA3.2 uses 1.68</x:v>
      </x:c>
      <x:c r="F8" s="35" t="str">
        <x:v>Cross-table checked</x:v>
      </x:c>
    </x:row>
    <x:row r="9">
      <x:c r="A9" s="8" t="str">
        <x:v>Suppression</x:v>
      </x:c>
      <x:c r="B9" s="8" t="str">
        <x:v>dci抑制下降.xlsx</x:v>
      </x:c>
      <x:c r="C9" s="8" t="str">
        <x:v>Data_Input</x:v>
      </x:c>
      <x:c r="D9" s="8" t="str">
        <x:v>Suppression</x:v>
      </x:c>
      <x:c r="E9" s="9" t="str">
        <x:v>Means and SD retained; gain calculated by formula</x:v>
      </x:c>
      <x:c r="F9" s="35" t="str">
        <x:v>Cross-table checked</x:v>
      </x:c>
    </x:row>
    <x:row r="10">
      <x:c r="A10" s="8" t="str">
        <x:v>Entropy</x:v>
      </x:c>
      <x:c r="B10" s="8" t="str">
        <x:v>信息熵.xlsx</x:v>
      </x:c>
      <x:c r="C10" s="8" t="str">
        <x:v>提取数据</x:v>
      </x:c>
      <x:c r="D10" s="8" t="str">
        <x:v>Entropy</x:v>
      </x:c>
      <x:c r="E10" s="9" t="str">
        <x:v>Digitized proportions retained and displayed as percentages</x:v>
      </x:c>
      <x:c r="F10" s="35" t="str">
        <x:v>Checked</x:v>
      </x:c>
    </x:row>
    <x:row r="11">
      <x:c r="A11" s="8" t="str">
        <x:v>ImageNet-21K main</x:v>
      </x:c>
      <x:c r="B11" s="8" t="str">
        <x:v>imagenet21k_dci_主要.xlsx</x:v>
      </x:c>
      <x:c r="C11" s="8" t="str">
        <x:v>Open-Source / API-Served</x:v>
      </x:c>
      <x:c r="D11" s="8" t="str">
        <x:v>IN21K Main</x:v>
      </x:c>
      <x:c r="E11" s="9" t="str">
        <x:v>Local and API-served results combined; improvement by formula</x:v>
      </x:c>
      <x:c r="F11" s="35" t="str">
        <x:v>Cross-table checked</x:v>
      </x:c>
    </x:row>
    <x:row r="12">
      <x:c r="A12" s="8" t="str">
        <x:v>TTS</x:v>
      </x:c>
      <x:c r="B12" s="8" t="str">
        <x:v>tts对比.xlsx</x:v>
      </x:c>
      <x:c r="C12" s="8" t="str">
        <x:v>Figure Data</x:v>
      </x:c>
      <x:c r="D12" s="8" t="str">
        <x:v>TTS</x:v>
      </x:c>
      <x:c r="E12" s="9" t="str">
        <x:v>Figure-ready observations retained</x:v>
      </x:c>
      <x:c r="F12" s="35" t="str">
        <x:v>Cross-table checked</x:v>
      </x:c>
    </x:row>
    <x:row r="13" ht="64" customHeight="1">
      <x:c r="A13" s="8" t="str">
        <x:v>Global</x:v>
      </x:c>
      <x:c r="B13" s="8" t="str">
        <x:v>All source files</x:v>
      </x:c>
      <x:c r="C13" s="8" t="str">
        <x:v>User-selected precedence</x:v>
      </x:c>
      <x:c r="D13" s="8" t="str">
        <x:v>All</x:v>
      </x:c>
      <x:c r="E13" s="9" t="str">
        <x:v>2026-09-02: user-confirmed Table 2 means synchronized; SD, latency and cost unchanged. Original versions backed up.</x:v>
      </x:c>
      <x:c r="F13" s="35" t="str">
        <x:v>Complete</x:v>
      </x:c>
    </x:row>
    <x:row r="14" ht="34" customHeight="1">
      <x:c r="A14" s="32" t="str">
        <x:v>Historical cross-table audit</x:v>
      </x:c>
      <x:c r="B14" s="33" t="str">
        <x:v>2026-08-26</x:v>
      </x:c>
      <x:c r="C14" s="33" t="str">
        <x:v>140 / 140 matched</x:v>
      </x:c>
      <x:c r="D14" s="33" t="str">
        <x:v>QC</x:v>
      </x:c>
      <x:c r="E14" s="33" t="str">
        <x:v>136 strict same-setting values plus 4 Random/B=10 grouping values; no conflicts</x:v>
      </x:c>
      <x:c r="F14" s="36" t="str">
        <x:v>Complete</x:v>
      </x:c>
    </x:row>
    <x:row r="16" ht="65" customHeight="1">
      <x:c r="A16" s="111" t="str">
        <x:v>SD authority (2026-09-03)</x:v>
      </x:c>
      <x:c r="B16" s="111" t="str">
        <x:v>Current results sheets; manuscript SD values confirmed by the author.</x:v>
      </x:c>
    </x:row>
    <x:row r="17" ht="65" customHeight="1">
      <x:c r="A17" s="111" t="str">
        <x:v>Historical entries</x:v>
      </x:c>
      <x:c r="B17" s="111" t="str">
        <x:v>Original source / correction sheets are retained as history; use the current authority for analysis and plotting.</x:v>
      </x:c>
    </x:row>
    <x:row r="18" ht="65" customHeight="1">
      <x:c r="A18" s="111" t="str">
        <x:v>Audit trail</x:v>
      </x:c>
      <x:c r="B18" s="111" t="str">
        <x:v>SD Authority records differing or previously absent historical SD entries. No statistical recomputation.</x:v>
      </x:c>
    </x:row>
  </x:sheetData>
  <x:conditionalFormatting sqref="F4:F13">
    <x:cfRule type="containsText" dxfId="0" priority="1" operator="containsText" text="Resolved"/>
    <x:cfRule type="containsText" dxfId="1" priority="2" operator="containsText" text="Complete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6" hidden="0" customWidth="1"/>
    <x:col min="5" max="5" width="20" hidden="0" customWidth="1"/>
    <x:col min="6" max="6" width="58" hidden="0" customWidth="1"/>
  </x:cols>
  <x:sheetData>
    <x:row r="1" ht="30" customHeight="1">
      <x:c r="A1" s="39" t="str">
        <x:v>DCI 跨表一致性校验汇总</x:v>
      </x:c>
      <x:c r="B1" s="39"/>
      <x:c r="C1" s="39"/>
      <x:c r="D1" s="39"/>
      <x:c r="E1" s="39"/>
      <x:c r="F1" s="39"/>
    </x:row>
    <x:row r="2" ht="30" customHeight="1">
      <x:c r="A2" s="40" t="str">
        <x:v>口径：模型、数据集、条件/方法、N/B 与指标一致时逐值比较；分组策略按 Random、B=10 映射。</x:v>
      </x:c>
      <x:c r="B2" s="40"/>
      <x:c r="C2" s="40"/>
      <x:c r="D2" s="40"/>
      <x:c r="E2" s="40"/>
      <x:c r="F2" s="40"/>
    </x:row>
    <x:row r="3">
      <x:c r="A3"/>
      <x:c r="B3"/>
      <x:c r="C3"/>
      <x:c r="D3"/>
      <x:c r="E3"/>
    </x:row>
    <x:row r="4" ht="15" hidden="0" customHeight="1">
      <x:c r="A4" s="49" t="str">
        <x:v>Check group</x:v>
      </x:c>
      <x:c r="B4" s="50" t="str">
        <x:v>Values checked</x:v>
      </x:c>
      <x:c r="C4" s="50" t="str">
        <x:v>Matches</x:v>
      </x:c>
      <x:c r="D4" s="50" t="str">
        <x:v>Mismatches</x:v>
      </x:c>
      <x:c r="E4" s="50" t="str">
        <x:v>Status</x:v>
      </x:c>
      <x:c r="F4" s="51" t="str">
        <x:v>Authority / note</x:v>
      </x:c>
    </x:row>
    <x:row r="5" ht="15" hidden="0" customHeight="1">
      <x:c r="A5" s="96" t="str">
        <x:v>Historical comparable values (2026-08-26)</x:v>
      </x:c>
      <x:c r="B5" s="97" t="n">
        <x:v>140</x:v>
      </x:c>
      <x:c r="C5" s="97" t="n">
        <x:v>140</x:v>
      </x:c>
      <x:c r="D5" s="97" t="n">
        <x:v>0</x:v>
      </x:c>
      <x:c r="E5" s="98" t="str">
        <x:v>Passed</x:v>
      </x:c>
      <x:c r="F5" s="99" t="str">
        <x:v>136 strict same-setting + 4 Random/B=10 grouping values</x:v>
      </x:c>
    </x:row>
    <x:row r="6" ht="15" hidden="0" customHeight="1">
      <x:c r="A6" s="100" t="str">
        <x:v>Scaling vs Suppression</x:v>
      </x:c>
      <x:c r="B6" s="101" t="n">
        <x:v>72</x:v>
      </x:c>
      <x:c r="C6" s="101" t="n">
        <x:v>72</x:v>
      </x:c>
      <x:c r="D6" s="101" t="n">
        <x:v>0</x:v>
      </x:c>
      <x:c r="E6" s="102" t="str">
        <x:v>Passed</x:v>
      </x:c>
      <x:c r="F6" s="103" t="str">
        <x:v>Wide format vs Data_Input baseline</x:v>
      </x:c>
    </x:row>
    <x:row r="7" ht="15" hidden="0" customHeight="1">
      <x:c r="A7" s="104" t="str">
        <x:v>Main vs Suppression</x:v>
      </x:c>
      <x:c r="B7" s="105" t="n">
        <x:v>16</x:v>
      </x:c>
      <x:c r="C7" s="105" t="n">
        <x:v>16</x:v>
      </x:c>
      <x:c r="D7" s="105" t="n">
        <x:v>0</x:v>
      </x:c>
      <x:c r="E7" s="102" t="str">
        <x:v>Passed</x:v>
      </x:c>
      <x:c r="F7" s="106" t="str">
        <x:v>Figure Data vs Data_Input at N=1000</x:v>
      </x:c>
    </x:row>
    <x:row r="8" ht="15" hidden="0" customHeight="1">
      <x:c r="A8" s="100" t="str">
        <x:v>Main vs Group Size</x:v>
      </x:c>
      <x:c r="B8" s="101" t="n">
        <x:v>8</x:v>
      </x:c>
      <x:c r="C8" s="101" t="n">
        <x:v>8</x:v>
      </x:c>
      <x:c r="D8" s="101" t="n">
        <x:v>0</x:v>
      </x:c>
      <x:c r="E8" s="102" t="str">
        <x:v>Passed</x:v>
      </x:c>
      <x:c r="F8" s="103" t="str">
        <x:v>Qwen3-VL-8B; Baseline and B=10</x:v>
      </x:c>
    </x:row>
    <x:row r="9" ht="15" hidden="0" customHeight="1">
      <x:c r="A9" s="104" t="str">
        <x:v>Main vs TTS</x:v>
      </x:c>
      <x:c r="B9" s="105" t="n">
        <x:v>12</x:v>
      </x:c>
      <x:c r="C9" s="105" t="n">
        <x:v>12</x:v>
      </x:c>
      <x:c r="D9" s="105" t="n">
        <x:v>0</x:v>
      </x:c>
      <x:c r="E9" s="102" t="str">
        <x:v>Passed</x:v>
      </x:c>
      <x:c r="F9" s="106" t="str">
        <x:v>Qwen3-VL-8B accuracy overlaps</x:v>
      </x:c>
    </x:row>
    <x:row r="10" ht="15" hidden="0" customHeight="1">
      <x:c r="A10" s="100" t="str">
        <x:v>Group Size vs TTS</x:v>
      </x:c>
      <x:c r="B10" s="101" t="n">
        <x:v>8</x:v>
      </x:c>
      <x:c r="C10" s="101" t="n">
        <x:v>8</x:v>
      </x:c>
      <x:c r="D10" s="101" t="n">
        <x:v>0</x:v>
      </x:c>
      <x:c r="E10" s="102" t="str">
        <x:v>Passed</x:v>
      </x:c>
      <x:c r="F10" s="103" t="str">
        <x:v>Baseline latency SD now consistently 0.06</x:v>
      </x:c>
    </x:row>
    <x:row r="11" ht="15" hidden="0" customHeight="1">
      <x:c r="A11" s="104" t="str">
        <x:v>IN21K Main vs Group Size</x:v>
      </x:c>
      <x:c r="B11" s="105" t="n">
        <x:v>8</x:v>
      </x:c>
      <x:c r="C11" s="105" t="n">
        <x:v>8</x:v>
      </x:c>
      <x:c r="D11" s="105" t="n">
        <x:v>0</x:v>
      </x:c>
      <x:c r="E11" s="102" t="str">
        <x:v>Passed</x:v>
      </x:c>
      <x:c r="F11" s="106" t="str">
        <x:v>Open-Source vs Paper Table</x:v>
      </x:c>
    </x:row>
    <x:row r="12" ht="64" hidden="0" customHeight="1">
      <x:c r="A12" s="100" t="str">
        <x:v>IN21K Main vs TTS</x:v>
      </x:c>
      <x:c r="B12" s="101" t="n">
        <x:v>4</x:v>
      </x:c>
      <x:c r="C12" s="101" t="n">
        <x:v>4</x:v>
      </x:c>
      <x:c r="D12" s="101" t="n">
        <x:v>0</x:v>
      </x:c>
      <x:c r="E12" s="123" t="str">
        <x:v>Pending B confirmation</x:v>
      </x:c>
      <x:c r="F12" s="103" t="str">
        <x:v>Historical match only; confirm whether TTS reuses Table 2 B=100 before propagating the revised DCI mean.</x:v>
      </x:c>
    </x:row>
    <x:row r="13" ht="15" hidden="0" customHeight="1">
      <x:c r="A13" s="104" t="str">
        <x:v>Main vs Scaling</x:v>
      </x:c>
      <x:c r="B13" s="105" t="n">
        <x:v>8</x:v>
      </x:c>
      <x:c r="C13" s="105" t="n">
        <x:v>8</x:v>
      </x:c>
      <x:c r="D13" s="105" t="n">
        <x:v>0</x:v>
      </x:c>
      <x:c r="E13" s="102" t="str">
        <x:v>Passed</x:v>
      </x:c>
      <x:c r="F13" s="106" t="str">
        <x:v>ImageNet-1K baseline at N=1000</x:v>
      </x:c>
    </x:row>
    <x:row r="14" ht="15" hidden="0" customHeight="1">
      <x:c r="A14" s="100" t="str">
        <x:v>Main vs Grouping</x:v>
      </x:c>
      <x:c r="B14" s="101" t="n">
        <x:v>4</x:v>
      </x:c>
      <x:c r="C14" s="101" t="n">
        <x:v>4</x:v>
      </x:c>
      <x:c r="D14" s="101" t="n">
        <x:v>0</x:v>
      </x:c>
      <x:c r="E14" s="102" t="str">
        <x:v>Passed</x:v>
      </x:c>
      <x:c r="F14" s="103" t="str">
        <x:v>Random, B=10; Qwen3-VL-4B = 69.09 ± 0.23</x:v>
      </x:c>
    </x:row>
    <x:row r="15" ht="15" hidden="0" customHeight="1">
      <x:c r="A15" s="107" t="str">
        <x:v>Formula error scan</x:v>
      </x:c>
      <x:c r="B15" s="108" t="n">
        <x:v>0</x:v>
      </x:c>
      <x:c r="C15" s="108" t="n">
        <x:v>0</x:v>
      </x:c>
      <x:c r="D15" s="108" t="n">
        <x:v>0</x:v>
      </x:c>
      <x:c r="E15" s="109" t="str">
        <x:v>Passed</x:v>
      </x:c>
      <x:c r="F15" s="110" t="str">
        <x:v>No Excel error tokens found</x:v>
      </x:c>
    </x:row>
    <x:row r="16" ht="15" hidden="0" customHeight="1">
      <x:c r="A16" s="111"/>
      <x:c r="B16" s="111"/>
      <x:c r="C16" s="111"/>
      <x:c r="D16" s="111"/>
      <x:c r="E16" s="111"/>
      <x:c r="F16" s="111"/>
    </x:row>
    <x:row r="17" ht="15" hidden="0" customHeight="1">
      <x:c r="A17" s="112" t="str">
        <x:v>源工作簿内部口径差异（已按指定权威表处理）</x:v>
      </x:c>
      <x:c r="B17" s="112"/>
      <x:c r="C17" s="112"/>
      <x:c r="D17" s="112"/>
      <x:c r="E17" s="112"/>
      <x:c r="F17" s="112"/>
    </x:row>
    <x:row r="18" ht="15" hidden="0" customHeight="1">
      <x:c r="A18" s="111"/>
      <x:c r="B18" s="111"/>
      <x:c r="C18" s="111"/>
      <x:c r="D18" s="111"/>
      <x:c r="E18" s="111"/>
      <x:c r="F18" s="111"/>
    </x:row>
    <x:row r="19" ht="26.399999618530273" hidden="0" customHeight="1">
      <x:c r="A19" s="49" t="str">
        <x:v>Area</x:v>
      </x:c>
      <x:c r="B19" s="50" t="str">
        <x:v>Conflict count</x:v>
      </x:c>
      <x:c r="C19" s="50" t="str">
        <x:v>Issue type</x:v>
      </x:c>
      <x:c r="D19" s="50" t="str">
        <x:v>Resolution / authority</x:v>
      </x:c>
      <x:c r="E19" s="50" t="str">
        <x:v>Status</x:v>
      </x:c>
      <x:c r="F19" s="51" t="str">
        <x:v>Note</x:v>
      </x:c>
    </x:row>
    <x:row r="20" ht="15" hidden="0" customHeight="1">
      <x:c r="A20" s="96" t="str">
        <x:v>Main DCI Raw vs Figure</x:v>
      </x:c>
      <x:c r="B20" s="97" t="n">
        <x:v>31</x:v>
      </x:c>
      <x:c r="C20" s="113" t="str">
        <x:v>2 means + 29 SD</x:v>
      </x:c>
      <x:c r="D20" s="113" t="str">
        <x:v>Figure Data</x:v>
      </x:c>
      <x:c r="E20" s="114" t="str">
        <x:v>Resolved</x:v>
      </x:c>
      <x:c r="F20" s="99" t="str"/>
    </x:row>
    <x:row r="21" ht="26.399999618530273" hidden="0" customHeight="1">
      <x:c r="A21" s="100" t="str">
        <x:v>Main DCI average delta rounding</x:v>
      </x:c>
      <x:c r="B21" s="101" t="n">
        <x:v>3</x:v>
      </x:c>
      <x:c r="C21" s="115" t="str">
        <x:v>0.01 pp label differences</x:v>
      </x:c>
      <x:c r="D21" s="115" t="str">
        <x:v>ROUND(DCI mean - baseline mean, 2)</x:v>
      </x:c>
      <x:c r="E21" s="116" t="str">
        <x:v>Resolved</x:v>
      </x:c>
      <x:c r="F21" s="103" t="str"/>
    </x:row>
    <x:row r="22" ht="15" hidden="0" customHeight="1">
      <x:c r="A22" s="104" t="str">
        <x:v>Group Size Raw vs Figure</x:v>
      </x:c>
      <x:c r="B22" s="105" t="n">
        <x:v>21</x:v>
      </x:c>
      <x:c r="C22" s="117" t="str">
        <x:v>SD values</x:v>
      </x:c>
      <x:c r="D22" s="117" t="str">
        <x:v>Figure Data</x:v>
      </x:c>
      <x:c r="E22" s="116" t="str">
        <x:v>Resolved</x:v>
      </x:c>
      <x:c r="F22" s="106" t="str"/>
    </x:row>
    <x:row r="23" ht="26.399999618530273" hidden="0" customHeight="1">
      <x:c r="A23" s="100" t="str">
        <x:v>IN21K Group Size Raw vs Paper</x:v>
      </x:c>
      <x:c r="B23" s="101" t="n">
        <x:v>13</x:v>
      </x:c>
      <x:c r="C23" s="115" t="str">
        <x:v>1 mean + 12 latency SD</x:v>
      </x:c>
      <x:c r="D23" s="115" t="str">
        <x:v>Paper Table</x:v>
      </x:c>
      <x:c r="E23" s="116" t="str">
        <x:v>Resolved</x:v>
      </x:c>
      <x:c r="F23" s="103" t="str"/>
    </x:row>
    <x:row r="24" ht="26.399999618530273" hidden="0" customHeight="1">
      <x:c r="A24" s="104" t="str">
        <x:v>Scaling Wide vs Long</x:v>
      </x:c>
      <x:c r="B24" s="105" t="n">
        <x:v>25</x:v>
      </x:c>
      <x:c r="C24" s="117" t="str">
        <x:v>1 mean + 24 missing SD</x:v>
      </x:c>
      <x:c r="D24" s="117" t="str">
        <x:v>Wide format</x:v>
      </x:c>
      <x:c r="E24" s="116" t="str">
        <x:v>Resolved</x:v>
      </x:c>
      <x:c r="F24" s="106" t="str">
        <x:v>Long format regenerated from Wide</x:v>
      </x:c>
    </x:row>
    <x:row r="25" ht="15" hidden="0" customHeight="1">
      <x:c r="A25" s="100" t="str">
        <x:v>Grouping Data vs Table 1</x:v>
      </x:c>
      <x:c r="B25" s="101" t="n">
        <x:v>6</x:v>
      </x:c>
      <x:c r="C25" s="115" t="str">
        <x:v>SD values</x:v>
      </x:c>
      <x:c r="D25" s="115" t="str">
        <x:v>Table 1</x:v>
      </x:c>
      <x:c r="E25" s="116" t="str">
        <x:v>Resolved</x:v>
      </x:c>
      <x:c r="F25" s="103" t="str">
        <x:v>Random Qwen3-VL-4B now 69.09 ± 0.23</x:v>
      </x:c>
    </x:row>
    <x:row r="26" ht="32" hidden="0" customHeight="1">
      <x:c r="A26" s="104" t="str">
        <x:v>Model naming</x:v>
      </x:c>
      <x:c r="B26" s="105" t="n">
        <x:v>1</x:v>
      </x:c>
      <x:c r="C26" s="117" t="str">
        <x:v>Legacy vs manuscript identifiers</x:v>
      </x:c>
      <x:c r="D26" s="117" t="str">
        <x:v>Manuscript identifiers</x:v>
      </x:c>
      <x:c r="E26" s="116" t="str">
        <x:v>Standardized</x:v>
      </x:c>
      <x:c r="F26" s="106" t="str">
        <x:v>Names aligned across output sheets</x:v>
      </x:c>
    </x:row>
    <x:row r="27" ht="72" hidden="0" customHeight="1">
      <x:c r="A27" s="118" t="str">
        <x:v>Original source files</x:v>
      </x:c>
      <x:c r="B27" s="119" t="n">
        <x:v>0</x:v>
      </x:c>
      <x:c r="C27" s="120" t="str">
        <x:v>Confirmed summary corrections</x:v>
      </x:c>
      <x:c r="D27" s="120" t="str">
        <x:v>Backups + Confirmation Log</x:v>
      </x:c>
      <x:c r="E27" s="121" t="str">
        <x:v>Preserved</x:v>
      </x:c>
      <x:c r="F27" s="122" t="str">
        <x:v>2026-09-02: confirmed summary means updated; pre-edit originals backed up; historical Raw Data retained.</x:v>
      </x:c>
    </x:row>
  </x:sheetData>
  <x:mergeCells>
    <x:mergeCell ref="A1:F1"/>
    <x:mergeCell ref="A2:F2"/>
    <x:mergeCell ref="A17:F17"/>
  </x:mergeCells>
  <x:conditionalFormatting sqref="E2:E8">
    <x:cfRule type="containsText" dxfId="2" priority="1" operator="containsText" text="Resolved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2" hidden="0" customWidth="1"/>
    <x:col min="9" max="9" width="25" hidden="0" customWidth="1"/>
    <x:col min="10" max="10" width="25" hidden="0" customWidth="1"/>
  </x:cols>
  <x:sheetData>
    <x:row r="1" ht="32" customHeight="1">
      <x:c r="A1" s="14" t="str">
        <x:v>Model</x:v>
      </x:c>
      <x:c r="B1" s="15" t="str">
        <x:v>Dataset</x:v>
      </x:c>
      <x:c r="C1" s="17" t="str">
        <x:v>w/o DCI Mean (%)</x:v>
      </x:c>
      <x:c r="D1" s="17" t="str">
        <x:v>w/o DCI SD (pp)</x:v>
      </x:c>
      <x:c r="E1" s="17" t="str">
        <x:v>w/ DCI Mean (%)</x:v>
      </x:c>
      <x:c r="F1" s="17" t="str">
        <x:v>w/ DCI SD (pp)</x:v>
      </x:c>
      <x:c r="G1" s="17" t="str">
        <x:v>Delta (pp)</x:v>
      </x:c>
      <x:c r="H1" s="19" t="str">
        <x:v>Runs</x:v>
      </x:c>
      <x:c r="I1" s="15" t="str">
        <x:v>Source Workbook</x:v>
      </x:c>
      <x:c r="J1" s="16" t="str">
        <x:v>Authority Sheet</x:v>
      </x:c>
    </x:row>
    <x:row r="2">
      <x:c r="A2" s="6" t="str">
        <x:v>Qwen2.5-VL-7B-Instruct</x:v>
      </x:c>
      <x:c r="B2" s="6" t="str">
        <x:v>ImageNet-1K</x:v>
      </x:c>
      <x:c r="C2" s="18" t="n">
        <x:v>61.8</x:v>
      </x:c>
      <x:c r="D2" s="18" t="n">
        <x:v>0.73</x:v>
      </x:c>
      <x:c r="E2" s="18" t="n">
        <x:v>71.57</x:v>
      </x:c>
      <x:c r="F2" s="18" t="n">
        <x:v>0.68</x:v>
      </x:c>
      <x:c r="G2" s="21" t="n">
        <x:f>ROUND(E2-C2,2)</x:f>
        <x:v>9.77</x:v>
      </x:c>
      <x:c r="H2" s="20" t="n">
        <x:v>5</x:v>
      </x:c>
      <x:c r="I2" s="6" t="str">
        <x:v>主图.xlsx</x:v>
      </x:c>
      <x:c r="J2" s="6" t="str">
        <x:v>Figure Data</x:v>
      </x:c>
    </x:row>
    <x:row r="3">
      <x:c r="A3" s="6" t="str">
        <x:v>Qwen2.5-VL-7B-Instruct</x:v>
      </x:c>
      <x:c r="B3" s="6" t="str">
        <x:v>CIFAR-100</x:v>
      </x:c>
      <x:c r="C3" s="18" t="n">
        <x:v>61.79</x:v>
      </x:c>
      <x:c r="D3" s="18" t="n">
        <x:v>0.16</x:v>
      </x:c>
      <x:c r="E3" s="18" t="n">
        <x:v>65.05</x:v>
      </x:c>
      <x:c r="F3" s="18" t="n">
        <x:v>0.21</x:v>
      </x:c>
      <x:c r="G3" s="21" t="n">
        <x:f>ROUND(E3-C3,2)</x:f>
        <x:v>3.26</x:v>
      </x:c>
      <x:c r="H3" s="20" t="n">
        <x:v>5</x:v>
      </x:c>
      <x:c r="I3" s="6" t="str">
        <x:v>主图.xlsx</x:v>
      </x:c>
      <x:c r="J3" s="6" t="str">
        <x:v>Figure Data</x:v>
      </x:c>
    </x:row>
    <x:row r="4">
      <x:c r="A4" s="6" t="str">
        <x:v>Qwen2.5-VL-7B-Instruct</x:v>
      </x:c>
      <x:c r="B4" s="6" t="str">
        <x:v>CUB-200-2011</x:v>
      </x:c>
      <x:c r="C4" s="18" t="n">
        <x:v>35.29</x:v>
      </x:c>
      <x:c r="D4" s="18" t="n">
        <x:v>0.12</x:v>
      </x:c>
      <x:c r="E4" s="18" t="n">
        <x:v>48.6</x:v>
      </x:c>
      <x:c r="F4" s="18" t="n">
        <x:v>0.15</x:v>
      </x:c>
      <x:c r="G4" s="21" t="n">
        <x:f>ROUND(E4-C4,2)</x:f>
        <x:v>13.31</x:v>
      </x:c>
      <x:c r="H4" s="20" t="n">
        <x:v>5</x:v>
      </x:c>
      <x:c r="I4" s="6" t="str">
        <x:v>主图.xlsx</x:v>
      </x:c>
      <x:c r="J4" s="6" t="str">
        <x:v>Figure Data</x:v>
      </x:c>
    </x:row>
    <x:row r="5">
      <x:c r="A5" s="6" t="str">
        <x:v>Qwen2.5-VL-7B-Instruct</x:v>
      </x:c>
      <x:c r="B5" s="6" t="str">
        <x:v>Food-101</x:v>
      </x:c>
      <x:c r="C5" s="18" t="n">
        <x:v>79.39</x:v>
      </x:c>
      <x:c r="D5" s="18" t="n">
        <x:v>0.12</x:v>
      </x:c>
      <x:c r="E5" s="18" t="n">
        <x:v>80.76</x:v>
      </x:c>
      <x:c r="F5" s="18" t="n">
        <x:v>0.1</x:v>
      </x:c>
      <x:c r="G5" s="21" t="n">
        <x:f>ROUND(E5-C5,2)</x:f>
        <x:v>1.37</x:v>
      </x:c>
      <x:c r="H5" s="20" t="n">
        <x:v>5</x:v>
      </x:c>
      <x:c r="I5" s="6" t="str">
        <x:v>主图.xlsx</x:v>
      </x:c>
      <x:c r="J5" s="6" t="str">
        <x:v>Figure Data</x:v>
      </x:c>
    </x:row>
    <x:row r="6">
      <x:c r="A6" s="6" t="str">
        <x:v>Qwen2.5-VL-7B-Instruct</x:v>
      </x:c>
      <x:c r="B6" s="6" t="str">
        <x:v>Avg.</x:v>
      </x:c>
      <x:c r="C6" s="18" t="n">
        <x:v>59.5675</x:v>
      </x:c>
      <x:c r="D6" s="18"/>
      <x:c r="E6" s="18" t="n">
        <x:v>66.495</x:v>
      </x:c>
      <x:c r="F6" s="18"/>
      <x:c r="G6" s="21" t="n">
        <x:f>ROUND(E6-C6,2)</x:f>
        <x:v>6.93</x:v>
      </x:c>
      <x:c r="H6" s="20" t="n">
        <x:v>5</x:v>
      </x:c>
      <x:c r="I6" s="6" t="str">
        <x:v>主图.xlsx</x:v>
      </x:c>
      <x:c r="J6" s="6" t="str">
        <x:v>Figure Data</x:v>
      </x:c>
    </x:row>
    <x:row r="7">
      <x:c r="A7" s="6" t="str">
        <x:v>Qwen3-VL-2B-Instruct</x:v>
      </x:c>
      <x:c r="B7" s="6" t="str">
        <x:v>ImageNet-1K</x:v>
      </x:c>
      <x:c r="C7" s="18" t="n">
        <x:v>40.54</x:v>
      </x:c>
      <x:c r="D7" s="18" t="n">
        <x:v>0.36</x:v>
      </x:c>
      <x:c r="E7" s="18" t="n">
        <x:v>51.36</x:v>
      </x:c>
      <x:c r="F7" s="18" t="n">
        <x:v>0.32</x:v>
      </x:c>
      <x:c r="G7" s="21" t="n">
        <x:f>ROUND(E7-C7,2)</x:f>
        <x:v>10.82</x:v>
      </x:c>
      <x:c r="H7" s="20" t="n">
        <x:v>5</x:v>
      </x:c>
      <x:c r="I7" s="6" t="str">
        <x:v>主图.xlsx</x:v>
      </x:c>
      <x:c r="J7" s="6" t="str">
        <x:v>Figure Data</x:v>
      </x:c>
    </x:row>
    <x:row r="8">
      <x:c r="A8" s="6" t="str">
        <x:v>Qwen3-VL-2B-Instruct</x:v>
      </x:c>
      <x:c r="B8" s="6" t="str">
        <x:v>CIFAR-100</x:v>
      </x:c>
      <x:c r="C8" s="18" t="n">
        <x:v>75.91</x:v>
      </x:c>
      <x:c r="D8" s="18" t="n">
        <x:v>0.12</x:v>
      </x:c>
      <x:c r="E8" s="18" t="n">
        <x:v>76.03</x:v>
      </x:c>
      <x:c r="F8" s="18" t="n">
        <x:v>0.11</x:v>
      </x:c>
      <x:c r="G8" s="21" t="n">
        <x:f>ROUND(E8-C8,2)</x:f>
        <x:v>0.12</x:v>
      </x:c>
      <x:c r="H8" s="20" t="n">
        <x:v>5</x:v>
      </x:c>
      <x:c r="I8" s="6" t="str">
        <x:v>主图.xlsx</x:v>
      </x:c>
      <x:c r="J8" s="6" t="str">
        <x:v>Figure Data</x:v>
      </x:c>
    </x:row>
    <x:row r="9">
      <x:c r="A9" s="6" t="str">
        <x:v>Qwen3-VL-2B-Instruct</x:v>
      </x:c>
      <x:c r="B9" s="6" t="str">
        <x:v>CUB-200-2011</x:v>
      </x:c>
      <x:c r="C9" s="18" t="n">
        <x:v>16.76</x:v>
      </x:c>
      <x:c r="D9" s="18" t="n">
        <x:v>0.15</x:v>
      </x:c>
      <x:c r="E9" s="18" t="n">
        <x:v>20.13</x:v>
      </x:c>
      <x:c r="F9" s="18" t="n">
        <x:v>0.33</x:v>
      </x:c>
      <x:c r="G9" s="21" t="n">
        <x:f>ROUND(E9-C9,2)</x:f>
        <x:v>3.37</x:v>
      </x:c>
      <x:c r="H9" s="20" t="n">
        <x:v>5</x:v>
      </x:c>
      <x:c r="I9" s="6" t="str">
        <x:v>主图.xlsx</x:v>
      </x:c>
      <x:c r="J9" s="6" t="str">
        <x:v>Figure Data</x:v>
      </x:c>
    </x:row>
    <x:row r="10">
      <x:c r="A10" s="6" t="str">
        <x:v>Qwen3-VL-2B-Instruct</x:v>
      </x:c>
      <x:c r="B10" s="6" t="str">
        <x:v>Food-101</x:v>
      </x:c>
      <x:c r="C10" s="18" t="n">
        <x:v>72.2</x:v>
      </x:c>
      <x:c r="D10" s="18" t="n">
        <x:v>0.19</x:v>
      </x:c>
      <x:c r="E10" s="18" t="n">
        <x:v>75.78</x:v>
      </x:c>
      <x:c r="F10" s="18" t="n">
        <x:v>0.15</x:v>
      </x:c>
      <x:c r="G10" s="21" t="n">
        <x:f>ROUND(E10-C10,2)</x:f>
        <x:v>3.58</x:v>
      </x:c>
      <x:c r="H10" s="20" t="n">
        <x:v>5</x:v>
      </x:c>
      <x:c r="I10" s="6" t="str">
        <x:v>主图.xlsx</x:v>
      </x:c>
      <x:c r="J10" s="6" t="str">
        <x:v>Figure Data</x:v>
      </x:c>
    </x:row>
    <x:row r="11">
      <x:c r="A11" s="6" t="str">
        <x:v>Qwen3-VL-2B-Instruct</x:v>
      </x:c>
      <x:c r="B11" s="6" t="str">
        <x:v>Avg.</x:v>
      </x:c>
      <x:c r="C11" s="18" t="n">
        <x:v>51.3525</x:v>
      </x:c>
      <x:c r="D11" s="18"/>
      <x:c r="E11" s="18" t="n">
        <x:v>55.825</x:v>
      </x:c>
      <x:c r="F11" s="18"/>
      <x:c r="G11" s="21" t="n">
        <x:f>ROUND(E11-C11,2)</x:f>
        <x:v>4.47</x:v>
      </x:c>
      <x:c r="H11" s="20" t="n">
        <x:v>5</x:v>
      </x:c>
      <x:c r="I11" s="6" t="str">
        <x:v>主图.xlsx</x:v>
      </x:c>
      <x:c r="J11" s="6" t="str">
        <x:v>Figure Data</x:v>
      </x:c>
    </x:row>
    <x:row r="12">
      <x:c r="A12" s="6" t="str">
        <x:v>Qwen3-VL-4B-Instruct</x:v>
      </x:c>
      <x:c r="B12" s="6" t="str">
        <x:v>ImageNet-1K</x:v>
      </x:c>
      <x:c r="C12" s="18" t="n">
        <x:v>64.81</x:v>
      </x:c>
      <x:c r="D12" s="18" t="n">
        <x:v>0.21</x:v>
      </x:c>
      <x:c r="E12" s="18" t="n">
        <x:v>69.09</x:v>
      </x:c>
      <x:c r="F12" s="18" t="n">
        <x:v>0.23</x:v>
      </x:c>
      <x:c r="G12" s="21" t="n">
        <x:f>ROUND(E12-C12,2)</x:f>
        <x:v>4.28</x:v>
      </x:c>
      <x:c r="H12" s="20" t="n">
        <x:v>5</x:v>
      </x:c>
      <x:c r="I12" s="6" t="str">
        <x:v>主图.xlsx</x:v>
      </x:c>
      <x:c r="J12" s="6" t="str">
        <x:v>Figure Data</x:v>
      </x:c>
    </x:row>
    <x:row r="13">
      <x:c r="A13" s="6" t="str">
        <x:v>Qwen3-VL-4B-Instruct</x:v>
      </x:c>
      <x:c r="B13" s="6" t="str">
        <x:v>CIFAR-100</x:v>
      </x:c>
      <x:c r="C13" s="18" t="n">
        <x:v>79.71</x:v>
      </x:c>
      <x:c r="D13" s="18" t="n">
        <x:v>0.15</x:v>
      </x:c>
      <x:c r="E13" s="18" t="n">
        <x:v>80.76</x:v>
      </x:c>
      <x:c r="F13" s="18" t="n">
        <x:v>0.14</x:v>
      </x:c>
      <x:c r="G13" s="21" t="n">
        <x:f>ROUND(E13-C13,2)</x:f>
        <x:v>1.05</x:v>
      </x:c>
      <x:c r="H13" s="20" t="n">
        <x:v>5</x:v>
      </x:c>
      <x:c r="I13" s="6" t="str">
        <x:v>主图.xlsx</x:v>
      </x:c>
      <x:c r="J13" s="6" t="str">
        <x:v>Figure Data</x:v>
      </x:c>
    </x:row>
    <x:row r="14">
      <x:c r="A14" s="6" t="str">
        <x:v>Qwen3-VL-4B-Instruct</x:v>
      </x:c>
      <x:c r="B14" s="6" t="str">
        <x:v>CUB-200-2011</x:v>
      </x:c>
      <x:c r="C14" s="18" t="n">
        <x:v>34.54</x:v>
      </x:c>
      <x:c r="D14" s="18" t="n">
        <x:v>0.18</x:v>
      </x:c>
      <x:c r="E14" s="18" t="n">
        <x:v>38.05</x:v>
      </x:c>
      <x:c r="F14" s="18" t="n">
        <x:v>0.1</x:v>
      </x:c>
      <x:c r="G14" s="21" t="n">
        <x:f>ROUND(E14-C14,2)</x:f>
        <x:v>3.51</x:v>
      </x:c>
      <x:c r="H14" s="20" t="n">
        <x:v>5</x:v>
      </x:c>
      <x:c r="I14" s="6" t="str">
        <x:v>主图.xlsx</x:v>
      </x:c>
      <x:c r="J14" s="6" t="str">
        <x:v>Figure Data</x:v>
      </x:c>
    </x:row>
    <x:row r="15">
      <x:c r="A15" s="6" t="str">
        <x:v>Qwen3-VL-4B-Instruct</x:v>
      </x:c>
      <x:c r="B15" s="6" t="str">
        <x:v>Food-101</x:v>
      </x:c>
      <x:c r="C15" s="18" t="n">
        <x:v>85.25</x:v>
      </x:c>
      <x:c r="D15" s="18" t="n">
        <x:v>0.21</x:v>
      </x:c>
      <x:c r="E15" s="18" t="n">
        <x:v>88.49</x:v>
      </x:c>
      <x:c r="F15" s="18" t="n">
        <x:v>0.25</x:v>
      </x:c>
      <x:c r="G15" s="21" t="n">
        <x:f>ROUND(E15-C15,2)</x:f>
        <x:v>3.24</x:v>
      </x:c>
      <x:c r="H15" s="20" t="n">
        <x:v>5</x:v>
      </x:c>
      <x:c r="I15" s="6" t="str">
        <x:v>主图.xlsx</x:v>
      </x:c>
      <x:c r="J15" s="6" t="str">
        <x:v>Figure Data</x:v>
      </x:c>
    </x:row>
    <x:row r="16">
      <x:c r="A16" s="6" t="str">
        <x:v>Qwen3-VL-4B-Instruct</x:v>
      </x:c>
      <x:c r="B16" s="6" t="str">
        <x:v>Avg.</x:v>
      </x:c>
      <x:c r="C16" s="18" t="n">
        <x:v>66.0775</x:v>
      </x:c>
      <x:c r="D16" s="18"/>
      <x:c r="E16" s="18" t="n">
        <x:v>69.0975</x:v>
      </x:c>
      <x:c r="F16" s="18"/>
      <x:c r="G16" s="21" t="n">
        <x:f>ROUND(E16-C16,2)</x:f>
        <x:v>3.02</x:v>
      </x:c>
      <x:c r="H16" s="20" t="n">
        <x:v>5</x:v>
      </x:c>
      <x:c r="I16" s="6" t="str">
        <x:v>主图.xlsx</x:v>
      </x:c>
      <x:c r="J16" s="6" t="str">
        <x:v>Figure Data</x:v>
      </x:c>
    </x:row>
    <x:row r="17">
      <x:c r="A17" s="6" t="str">
        <x:v>Qwen3-VL-8B-Instruct</x:v>
      </x:c>
      <x:c r="B17" s="6" t="str">
        <x:v>ImageNet-1K</x:v>
      </x:c>
      <x:c r="C17" s="18" t="n">
        <x:v>67.56</x:v>
      </x:c>
      <x:c r="D17" s="18" t="n">
        <x:v>0.38</x:v>
      </x:c>
      <x:c r="E17" s="18" t="n">
        <x:v>71.16</x:v>
      </x:c>
      <x:c r="F17" s="18" t="n">
        <x:v>0.44</x:v>
      </x:c>
      <x:c r="G17" s="21" t="n">
        <x:f>ROUND(E17-C17,2)</x:f>
        <x:v>3.6</x:v>
      </x:c>
      <x:c r="H17" s="20" t="n">
        <x:v>5</x:v>
      </x:c>
      <x:c r="I17" s="6" t="str">
        <x:v>主图.xlsx</x:v>
      </x:c>
      <x:c r="J17" s="6" t="str">
        <x:v>Figure Data</x:v>
      </x:c>
    </x:row>
    <x:row r="18">
      <x:c r="A18" s="6" t="str">
        <x:v>Qwen3-VL-8B-Instruct</x:v>
      </x:c>
      <x:c r="B18" s="6" t="str">
        <x:v>CIFAR-100</x:v>
      </x:c>
      <x:c r="C18" s="18" t="n">
        <x:v>78.72</x:v>
      </x:c>
      <x:c r="D18" s="18" t="n">
        <x:v>0.16</x:v>
      </x:c>
      <x:c r="E18" s="18" t="n">
        <x:v>81.63</x:v>
      </x:c>
      <x:c r="F18" s="18" t="n">
        <x:v>0.18</x:v>
      </x:c>
      <x:c r="G18" s="21" t="n">
        <x:f>ROUND(E18-C18,2)</x:f>
        <x:v>2.91</x:v>
      </x:c>
      <x:c r="H18" s="20" t="n">
        <x:v>5</x:v>
      </x:c>
      <x:c r="I18" s="6" t="str">
        <x:v>主图.xlsx</x:v>
      </x:c>
      <x:c r="J18" s="6" t="str">
        <x:v>Figure Data</x:v>
      </x:c>
    </x:row>
    <x:row r="19">
      <x:c r="A19" s="6" t="str">
        <x:v>Qwen3-VL-8B-Instruct</x:v>
      </x:c>
      <x:c r="B19" s="6" t="str">
        <x:v>CUB-200-2011</x:v>
      </x:c>
      <x:c r="C19" s="18" t="n">
        <x:v>40.97</x:v>
      </x:c>
      <x:c r="D19" s="18" t="n">
        <x:v>0.19</x:v>
      </x:c>
      <x:c r="E19" s="18" t="n">
        <x:v>46.85</x:v>
      </x:c>
      <x:c r="F19" s="18" t="n">
        <x:v>0.16</x:v>
      </x:c>
      <x:c r="G19" s="21" t="n">
        <x:f>ROUND(E19-C19,2)</x:f>
        <x:v>5.88</x:v>
      </x:c>
      <x:c r="H19" s="20" t="n">
        <x:v>5</x:v>
      </x:c>
      <x:c r="I19" s="6" t="str">
        <x:v>主图.xlsx</x:v>
      </x:c>
      <x:c r="J19" s="6" t="str">
        <x:v>Figure Data</x:v>
      </x:c>
    </x:row>
    <x:row r="20">
      <x:c r="A20" s="6" t="str">
        <x:v>Qwen3-VL-8B-Instruct</x:v>
      </x:c>
      <x:c r="B20" s="6" t="str">
        <x:v>Food-101</x:v>
      </x:c>
      <x:c r="C20" s="18" t="n">
        <x:v>83.83</x:v>
      </x:c>
      <x:c r="D20" s="18" t="n">
        <x:v>0.15</x:v>
      </x:c>
      <x:c r="E20" s="18" t="n">
        <x:v>85.65</x:v>
      </x:c>
      <x:c r="F20" s="18" t="n">
        <x:v>0.14</x:v>
      </x:c>
      <x:c r="G20" s="21" t="n">
        <x:f>ROUND(E20-C20,2)</x:f>
        <x:v>1.82</x:v>
      </x:c>
      <x:c r="H20" s="20" t="n">
        <x:v>5</x:v>
      </x:c>
      <x:c r="I20" s="6" t="str">
        <x:v>主图.xlsx</x:v>
      </x:c>
      <x:c r="J20" s="6" t="str">
        <x:v>Figure Data</x:v>
      </x:c>
    </x:row>
    <x:row r="21">
      <x:c r="A21" s="6" t="str">
        <x:v>Qwen3-VL-8B-Instruct</x:v>
      </x:c>
      <x:c r="B21" s="6" t="str">
        <x:v>Avg.</x:v>
      </x:c>
      <x:c r="C21" s="18" t="n">
        <x:v>67.77</x:v>
      </x:c>
      <x:c r="D21" s="18"/>
      <x:c r="E21" s="18" t="n">
        <x:v>71.3225</x:v>
      </x:c>
      <x:c r="F21" s="18"/>
      <x:c r="G21" s="21" t="n">
        <x:f>ROUND(E21-C21,2)</x:f>
        <x:v>3.55</x:v>
      </x:c>
      <x:c r="H21" s="20" t="n">
        <x:v>5</x:v>
      </x:c>
      <x:c r="I21" s="6" t="str">
        <x:v>主图.xlsx</x:v>
      </x:c>
      <x:c r="J21" s="6" t="str">
        <x:v>Figure Data</x:v>
      </x:c>
    </x:row>
    <x:row r="22">
      <x:c r="A22" s="6" t="str">
        <x:v>Kimi-VL-A3B-Instruct</x:v>
      </x:c>
      <x:c r="B22" s="6" t="str">
        <x:v>ImageNet-1K</x:v>
      </x:c>
      <x:c r="C22" s="18" t="n">
        <x:v>35.69</x:v>
      </x:c>
      <x:c r="D22" s="18" t="n">
        <x:v>0.26</x:v>
      </x:c>
      <x:c r="E22" s="18" t="n">
        <x:v>42.27</x:v>
      </x:c>
      <x:c r="F22" s="18" t="n">
        <x:v>0.27</x:v>
      </x:c>
      <x:c r="G22" s="21" t="n">
        <x:f>ROUND(E22-C22,2)</x:f>
        <x:v>6.58</x:v>
      </x:c>
      <x:c r="H22" s="20" t="n">
        <x:v>5</x:v>
      </x:c>
      <x:c r="I22" s="6" t="str">
        <x:v>主图.xlsx</x:v>
      </x:c>
      <x:c r="J22" s="6" t="str">
        <x:v>Figure Data</x:v>
      </x:c>
    </x:row>
    <x:row r="23">
      <x:c r="A23" s="6" t="str">
        <x:v>Kimi-VL-A3B-Instruct</x:v>
      </x:c>
      <x:c r="B23" s="6" t="str">
        <x:v>CIFAR-100</x:v>
      </x:c>
      <x:c r="C23" s="18" t="n">
        <x:v>31.24</x:v>
      </x:c>
      <x:c r="D23" s="18" t="n">
        <x:v>0.14</x:v>
      </x:c>
      <x:c r="E23" s="18" t="n">
        <x:v>31.9</x:v>
      </x:c>
      <x:c r="F23" s="18" t="n">
        <x:v>0.15</x:v>
      </x:c>
      <x:c r="G23" s="21" t="n">
        <x:f>ROUND(E23-C23,2)</x:f>
        <x:v>0.66</x:v>
      </x:c>
      <x:c r="H23" s="20" t="n">
        <x:v>5</x:v>
      </x:c>
      <x:c r="I23" s="6" t="str">
        <x:v>主图.xlsx</x:v>
      </x:c>
      <x:c r="J23" s="6" t="str">
        <x:v>Figure Data</x:v>
      </x:c>
    </x:row>
    <x:row r="24">
      <x:c r="A24" s="6" t="str">
        <x:v>Kimi-VL-A3B-Instruct</x:v>
      </x:c>
      <x:c r="B24" s="6" t="str">
        <x:v>CUB-200-2011</x:v>
      </x:c>
      <x:c r="C24" s="18" t="n">
        <x:v>11.33</x:v>
      </x:c>
      <x:c r="D24" s="18" t="n">
        <x:v>0.24</x:v>
      </x:c>
      <x:c r="E24" s="18" t="n">
        <x:v>19.43</x:v>
      </x:c>
      <x:c r="F24" s="18" t="n">
        <x:v>0.18</x:v>
      </x:c>
      <x:c r="G24" s="21" t="n">
        <x:f>ROUND(E24-C24,2)</x:f>
        <x:v>8.1</x:v>
      </x:c>
      <x:c r="H24" s="20" t="n">
        <x:v>5</x:v>
      </x:c>
      <x:c r="I24" s="6" t="str">
        <x:v>主图.xlsx</x:v>
      </x:c>
      <x:c r="J24" s="6" t="str">
        <x:v>Figure Data</x:v>
      </x:c>
    </x:row>
    <x:row r="25">
      <x:c r="A25" s="6" t="str">
        <x:v>Kimi-VL-A3B-Instruct</x:v>
      </x:c>
      <x:c r="B25" s="6" t="str">
        <x:v>Food-101</x:v>
      </x:c>
      <x:c r="C25" s="18" t="n">
        <x:v>67.32</x:v>
      </x:c>
      <x:c r="D25" s="18" t="n">
        <x:v>0.25</x:v>
      </x:c>
      <x:c r="E25" s="18" t="n">
        <x:v>68.8</x:v>
      </x:c>
      <x:c r="F25" s="18" t="n">
        <x:v>0.17</x:v>
      </x:c>
      <x:c r="G25" s="21" t="n">
        <x:f>ROUND(E25-C25,2)</x:f>
        <x:v>1.48</x:v>
      </x:c>
      <x:c r="H25" s="20" t="n">
        <x:v>5</x:v>
      </x:c>
      <x:c r="I25" s="6" t="str">
        <x:v>主图.xlsx</x:v>
      </x:c>
      <x:c r="J25" s="6" t="str">
        <x:v>Figure Data</x:v>
      </x:c>
    </x:row>
    <x:row r="26">
      <x:c r="A26" s="6" t="str">
        <x:v>Kimi-VL-A3B-Instruct</x:v>
      </x:c>
      <x:c r="B26" s="6" t="str">
        <x:v>Avg.</x:v>
      </x:c>
      <x:c r="C26" s="18" t="n">
        <x:v>36.395</x:v>
      </x:c>
      <x:c r="D26" s="18"/>
      <x:c r="E26" s="18" t="n">
        <x:v>40.6</x:v>
      </x:c>
      <x:c r="F26" s="18"/>
      <x:c r="G26" s="21" t="n">
        <x:v>4.21</x:v>
      </x:c>
      <x:c r="H26" s="20" t="n">
        <x:v>5</x:v>
      </x:c>
      <x:c r="I26" s="6" t="str">
        <x:v>主图.xlsx</x:v>
      </x:c>
      <x:c r="J26" s="6" t="str">
        <x:v>Figure Data</x:v>
      </x:c>
    </x:row>
    <x:row r="27">
      <x:c r="A27" s="6" t="str">
        <x:v>Gemma-4-E2B</x:v>
      </x:c>
      <x:c r="B27" s="6" t="str">
        <x:v>ImageNet-1K</x:v>
      </x:c>
      <x:c r="C27" s="18" t="n">
        <x:v>18.25</x:v>
      </x:c>
      <x:c r="D27" s="18" t="n">
        <x:v>0.18</x:v>
      </x:c>
      <x:c r="E27" s="18" t="n">
        <x:v>30.88</x:v>
      </x:c>
      <x:c r="F27" s="18" t="n">
        <x:v>0.21</x:v>
      </x:c>
      <x:c r="G27" s="21" t="n">
        <x:f>ROUND(E27-C27,2)</x:f>
        <x:v>12.63</x:v>
      </x:c>
      <x:c r="H27" s="20" t="n">
        <x:v>5</x:v>
      </x:c>
      <x:c r="I27" s="6" t="str">
        <x:v>主图.xlsx</x:v>
      </x:c>
      <x:c r="J27" s="6" t="str">
        <x:v>Figure Data</x:v>
      </x:c>
    </x:row>
    <x:row r="28">
      <x:c r="A28" s="6" t="str">
        <x:v>Gemma-4-E2B</x:v>
      </x:c>
      <x:c r="B28" s="6" t="str">
        <x:v>CIFAR-100</x:v>
      </x:c>
      <x:c r="C28" s="18" t="n">
        <x:v>53.12</x:v>
      </x:c>
      <x:c r="D28" s="18" t="n">
        <x:v>0.12</x:v>
      </x:c>
      <x:c r="E28" s="18" t="n">
        <x:v>55.05</x:v>
      </x:c>
      <x:c r="F28" s="18" t="n">
        <x:v>0.25</x:v>
      </x:c>
      <x:c r="G28" s="21" t="n">
        <x:f>ROUND(E28-C28,2)</x:f>
        <x:v>1.93</x:v>
      </x:c>
      <x:c r="H28" s="20" t="n">
        <x:v>5</x:v>
      </x:c>
      <x:c r="I28" s="6" t="str">
        <x:v>主图.xlsx</x:v>
      </x:c>
      <x:c r="J28" s="6" t="str">
        <x:v>Figure Data</x:v>
      </x:c>
    </x:row>
    <x:row r="29">
      <x:c r="A29" s="6" t="str">
        <x:v>Gemma-4-E2B</x:v>
      </x:c>
      <x:c r="B29" s="6" t="str">
        <x:v>CUB-200-2011</x:v>
      </x:c>
      <x:c r="C29" s="18" t="n">
        <x:v>5.02</x:v>
      </x:c>
      <x:c r="D29" s="18" t="n">
        <x:v>0.21</x:v>
      </x:c>
      <x:c r="E29" s="18" t="n">
        <x:v>7.26</x:v>
      </x:c>
      <x:c r="F29" s="18" t="n">
        <x:v>0.19</x:v>
      </x:c>
      <x:c r="G29" s="21" t="n">
        <x:f>ROUND(E29-C29,2)</x:f>
        <x:v>2.24</x:v>
      </x:c>
      <x:c r="H29" s="20" t="n">
        <x:v>5</x:v>
      </x:c>
      <x:c r="I29" s="6" t="str">
        <x:v>主图.xlsx</x:v>
      </x:c>
      <x:c r="J29" s="6" t="str">
        <x:v>Figure Data</x:v>
      </x:c>
    </x:row>
    <x:row r="30">
      <x:c r="A30" s="6" t="str">
        <x:v>Gemma-4-E2B</x:v>
      </x:c>
      <x:c r="B30" s="6" t="str">
        <x:v>Food-101</x:v>
      </x:c>
      <x:c r="C30" s="18" t="n">
        <x:v>41.83</x:v>
      </x:c>
      <x:c r="D30" s="18" t="n">
        <x:v>0.19</x:v>
      </x:c>
      <x:c r="E30" s="18" t="n">
        <x:v>48.41</x:v>
      </x:c>
      <x:c r="F30" s="18" t="n">
        <x:v>0.21</x:v>
      </x:c>
      <x:c r="G30" s="21" t="n">
        <x:f>ROUND(E30-C30,2)</x:f>
        <x:v>6.58</x:v>
      </x:c>
      <x:c r="H30" s="20" t="n">
        <x:v>5</x:v>
      </x:c>
      <x:c r="I30" s="6" t="str">
        <x:v>主图.xlsx</x:v>
      </x:c>
      <x:c r="J30" s="6" t="str">
        <x:v>Figure Data</x:v>
      </x:c>
    </x:row>
    <x:row r="31">
      <x:c r="A31" s="6" t="str">
        <x:v>Gemma-4-E2B</x:v>
      </x:c>
      <x:c r="B31" s="6" t="str">
        <x:v>Avg.</x:v>
      </x:c>
      <x:c r="C31" s="18" t="n">
        <x:v>29.555</x:v>
      </x:c>
      <x:c r="D31" s="18"/>
      <x:c r="E31" s="18" t="n">
        <x:v>35.4</x:v>
      </x:c>
      <x:c r="F31" s="18"/>
      <x:c r="G31" s="21" t="n">
        <x:v>5.85</x:v>
      </x:c>
      <x:c r="H31" s="20" t="n">
        <x:v>5</x:v>
      </x:c>
      <x:c r="I31" s="6" t="str">
        <x:v>主图.xlsx</x:v>
      </x:c>
      <x:c r="J31" s="6" t="str">
        <x:v>Figure Data</x:v>
      </x:c>
    </x:row>
  </x:sheetData>
  <x:pageMargins left="0.7" right="0.7" top="0.75" bottom="0.75" header="0.3" footer="0.3"/>
  <x:tableParts count="1">
    <x:tablePart xmlns:r="http://schemas.openxmlformats.org/officeDocument/2006/relationships" r:id="R1445354d2bd44e2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12" hidden="0" customWidth="1"/>
    <x:col min="5" max="5" width="12" hidden="0" customWidth="1"/>
    <x:col min="6" max="6" width="12" hidden="0" customWidth="1"/>
    <x:col min="7" max="7" width="14" hidden="0" customWidth="1"/>
    <x:col min="8" max="8" width="24" hidden="0" customWidth="1"/>
    <x:col min="9" max="9" width="12" hidden="0" customWidth="1"/>
    <x:col min="10" max="10" width="25" hidden="0" customWidth="1"/>
    <x:col min="11" max="11" width="25" hidden="0" customWidth="1"/>
  </x:cols>
  <x:sheetData>
    <x:row r="1" ht="32" customHeight="1">
      <x:c r="A1" s="14" t="str">
        <x:v>Model</x:v>
      </x:c>
      <x:c r="B1" s="15" t="str">
        <x:v>Dataset</x:v>
      </x:c>
      <x:c r="C1" s="15" t="str">
        <x:v>Metric</x:v>
      </x:c>
      <x:c r="D1" s="15" t="str">
        <x:v>Configuration</x:v>
      </x:c>
      <x:c r="E1" s="19" t="str">
        <x:v>Group Size B</x:v>
      </x:c>
      <x:c r="F1" s="17" t="str">
        <x:v>Mean</x:v>
      </x:c>
      <x:c r="G1" s="17" t="str">
        <x:v>SD</x:v>
      </x:c>
      <x:c r="H1" s="15" t="str">
        <x:v>Unit</x:v>
      </x:c>
      <x:c r="I1" s="19" t="str">
        <x:v>Runs</x:v>
      </x:c>
      <x:c r="J1" s="15" t="str">
        <x:v>Source Workbook</x:v>
      </x:c>
      <x:c r="K1" s="16" t="str">
        <x:v>Authority Sheet</x:v>
      </x:c>
    </x:row>
    <x:row r="2">
      <x:c r="A2" s="6" t="str">
        <x:v>Qwen3-VL-8B-Instruct</x:v>
      </x:c>
      <x:c r="B2" s="6" t="str">
        <x:v>CIFAR-100</x:v>
      </x:c>
      <x:c r="C2" s="6" t="str">
        <x:v>Classification accuracy</x:v>
      </x:c>
      <x:c r="D2" s="6" t="str">
        <x:v>B = 2</x:v>
      </x:c>
      <x:c r="E2" s="20" t="n">
        <x:v>2</x:v>
      </x:c>
      <x:c r="F2" s="18" t="n">
        <x:v>81.36</x:v>
      </x:c>
      <x:c r="G2" s="18" t="n">
        <x:v>0.19</x:v>
      </x:c>
      <x:c r="H2" s="6" t="str">
        <x:v>%</x:v>
      </x:c>
      <x:c r="I2" s="20" t="n">
        <x:v>5</x:v>
      </x:c>
      <x:c r="J2" s="6" t="str">
        <x:v>gs_消融.xlsx</x:v>
      </x:c>
      <x:c r="K2" s="6" t="str">
        <x:v>Figure Data</x:v>
      </x:c>
    </x:row>
    <x:row r="3">
      <x:c r="A3" s="6" t="str">
        <x:v>Qwen3-VL-8B-Instruct</x:v>
      </x:c>
      <x:c r="B3" s="6" t="str">
        <x:v>ImageNet-1K</x:v>
      </x:c>
      <x:c r="C3" s="6" t="str">
        <x:v>Classification accuracy</x:v>
      </x:c>
      <x:c r="D3" s="6" t="str">
        <x:v>B = 2</x:v>
      </x:c>
      <x:c r="E3" s="20" t="n">
        <x:v>2</x:v>
      </x:c>
      <x:c r="F3" s="18" t="n">
        <x:v>69.29</x:v>
      </x:c>
      <x:c r="G3" s="18" t="n">
        <x:v>0.24</x:v>
      </x:c>
      <x:c r="H3" s="6" t="str">
        <x:v>%</x:v>
      </x:c>
      <x:c r="I3" s="20" t="n">
        <x:v>5</x:v>
      </x:c>
      <x:c r="J3" s="6" t="str">
        <x:v>gs_消融.xlsx</x:v>
      </x:c>
      <x:c r="K3" s="6" t="str">
        <x:v>Figure Data</x:v>
      </x:c>
    </x:row>
    <x:row r="4">
      <x:c r="A4" s="6" t="str">
        <x:v>Qwen3-VL-8B-Instruct</x:v>
      </x:c>
      <x:c r="B4" s="6" t="str">
        <x:v>CIFAR-100</x:v>
      </x:c>
      <x:c r="C4" s="6" t="str">
        <x:v>Inference latency</x:v>
      </x:c>
      <x:c r="D4" s="6" t="str">
        <x:v>B = 2</x:v>
      </x:c>
      <x:c r="E4" s="20" t="n">
        <x:v>2</x:v>
      </x:c>
      <x:c r="F4" s="18" t="n">
        <x:v>1.14</x:v>
      </x:c>
      <x:c r="G4" s="18" t="n">
        <x:v>0.08</x:v>
      </x:c>
      <x:c r="H4" s="6" t="str">
        <x:v>s/image</x:v>
      </x:c>
      <x:c r="I4" s="20" t="n">
        <x:v>5</x:v>
      </x:c>
      <x:c r="J4" s="6" t="str">
        <x:v>gs_消融.xlsx</x:v>
      </x:c>
      <x:c r="K4" s="6" t="str">
        <x:v>Figure Data</x:v>
      </x:c>
    </x:row>
    <x:row r="5">
      <x:c r="A5" s="6" t="str">
        <x:v>Qwen3-VL-8B-Instruct</x:v>
      </x:c>
      <x:c r="B5" s="6" t="str">
        <x:v>ImageNet-1K</x:v>
      </x:c>
      <x:c r="C5" s="6" t="str">
        <x:v>Inference latency</x:v>
      </x:c>
      <x:c r="D5" s="6" t="str">
        <x:v>B = 2</x:v>
      </x:c>
      <x:c r="E5" s="20" t="n">
        <x:v>2</x:v>
      </x:c>
      <x:c r="F5" s="18" t="n">
        <x:v>9.06</x:v>
      </x:c>
      <x:c r="G5" s="18" t="n">
        <x:v>0.15</x:v>
      </x:c>
      <x:c r="H5" s="6" t="str">
        <x:v>s/image</x:v>
      </x:c>
      <x:c r="I5" s="20" t="n">
        <x:v>5</x:v>
      </x:c>
      <x:c r="J5" s="6" t="str">
        <x:v>gs_消融.xlsx</x:v>
      </x:c>
      <x:c r="K5" s="6" t="str">
        <x:v>Figure Data</x:v>
      </x:c>
    </x:row>
    <x:row r="6">
      <x:c r="A6" s="6" t="str">
        <x:v>Qwen3-VL-8B-Instruct</x:v>
      </x:c>
      <x:c r="B6" s="6" t="str">
        <x:v>CIFAR-100</x:v>
      </x:c>
      <x:c r="C6" s="6" t="str">
        <x:v>Classification accuracy</x:v>
      </x:c>
      <x:c r="D6" s="6" t="str">
        <x:v>B = 5</x:v>
      </x:c>
      <x:c r="E6" s="20" t="n">
        <x:v>5</x:v>
      </x:c>
      <x:c r="F6" s="18" t="n">
        <x:v>81.62</x:v>
      </x:c>
      <x:c r="G6" s="18" t="n">
        <x:v>0.21</x:v>
      </x:c>
      <x:c r="H6" s="6" t="str">
        <x:v>%</x:v>
      </x:c>
      <x:c r="I6" s="20" t="n">
        <x:v>5</x:v>
      </x:c>
      <x:c r="J6" s="6" t="str">
        <x:v>gs_消融.xlsx</x:v>
      </x:c>
      <x:c r="K6" s="6" t="str">
        <x:v>Figure Data</x:v>
      </x:c>
    </x:row>
    <x:row r="7">
      <x:c r="A7" s="6" t="str">
        <x:v>Qwen3-VL-8B-Instruct</x:v>
      </x:c>
      <x:c r="B7" s="6" t="str">
        <x:v>ImageNet-1K</x:v>
      </x:c>
      <x:c r="C7" s="6" t="str">
        <x:v>Classification accuracy</x:v>
      </x:c>
      <x:c r="D7" s="6" t="str">
        <x:v>B = 5</x:v>
      </x:c>
      <x:c r="E7" s="20" t="n">
        <x:v>5</x:v>
      </x:c>
      <x:c r="F7" s="18" t="n">
        <x:v>70.92</x:v>
      </x:c>
      <x:c r="G7" s="18" t="n">
        <x:v>0.33</x:v>
      </x:c>
      <x:c r="H7" s="6" t="str">
        <x:v>%</x:v>
      </x:c>
      <x:c r="I7" s="20" t="n">
        <x:v>5</x:v>
      </x:c>
      <x:c r="J7" s="6" t="str">
        <x:v>gs_消融.xlsx</x:v>
      </x:c>
      <x:c r="K7" s="6" t="str">
        <x:v>Figure Data</x:v>
      </x:c>
    </x:row>
    <x:row r="8">
      <x:c r="A8" s="6" t="str">
        <x:v>Qwen3-VL-8B-Instruct</x:v>
      </x:c>
      <x:c r="B8" s="6" t="str">
        <x:v>CIFAR-100</x:v>
      </x:c>
      <x:c r="C8" s="6" t="str">
        <x:v>Inference latency</x:v>
      </x:c>
      <x:c r="D8" s="6" t="str">
        <x:v>B = 5</x:v>
      </x:c>
      <x:c r="E8" s="20" t="n">
        <x:v>5</x:v>
      </x:c>
      <x:c r="F8" s="18" t="n">
        <x:v>0.53</x:v>
      </x:c>
      <x:c r="G8" s="18" t="n">
        <x:v>0.04</x:v>
      </x:c>
      <x:c r="H8" s="6" t="str">
        <x:v>s/image</x:v>
      </x:c>
      <x:c r="I8" s="20" t="n">
        <x:v>5</x:v>
      </x:c>
      <x:c r="J8" s="6" t="str">
        <x:v>gs_消融.xlsx</x:v>
      </x:c>
      <x:c r="K8" s="6" t="str">
        <x:v>Figure Data</x:v>
      </x:c>
    </x:row>
    <x:row r="9">
      <x:c r="A9" s="6" t="str">
        <x:v>Qwen3-VL-8B-Instruct</x:v>
      </x:c>
      <x:c r="B9" s="6" t="str">
        <x:v>ImageNet-1K</x:v>
      </x:c>
      <x:c r="C9" s="6" t="str">
        <x:v>Inference latency</x:v>
      </x:c>
      <x:c r="D9" s="6" t="str">
        <x:v>B = 5</x:v>
      </x:c>
      <x:c r="E9" s="20" t="n">
        <x:v>5</x:v>
      </x:c>
      <x:c r="F9" s="18" t="n">
        <x:v>3.19</x:v>
      </x:c>
      <x:c r="G9" s="18" t="n">
        <x:v>0.11</x:v>
      </x:c>
      <x:c r="H9" s="6" t="str">
        <x:v>s/image</x:v>
      </x:c>
      <x:c r="I9" s="20" t="n">
        <x:v>5</x:v>
      </x:c>
      <x:c r="J9" s="6" t="str">
        <x:v>gs_消融.xlsx</x:v>
      </x:c>
      <x:c r="K9" s="6" t="str">
        <x:v>Figure Data</x:v>
      </x:c>
    </x:row>
    <x:row r="10">
      <x:c r="A10" s="6" t="str">
        <x:v>Qwen3-VL-8B-Instruct</x:v>
      </x:c>
      <x:c r="B10" s="6" t="str">
        <x:v>CIFAR-100</x:v>
      </x:c>
      <x:c r="C10" s="6" t="str">
        <x:v>Classification accuracy</x:v>
      </x:c>
      <x:c r="D10" s="6" t="str">
        <x:v>B = 10</x:v>
      </x:c>
      <x:c r="E10" s="20" t="n">
        <x:v>10</x:v>
      </x:c>
      <x:c r="F10" s="18" t="n">
        <x:v>81.63</x:v>
      </x:c>
      <x:c r="G10" s="18" t="n">
        <x:v>0.18</x:v>
      </x:c>
      <x:c r="H10" s="6" t="str">
        <x:v>%</x:v>
      </x:c>
      <x:c r="I10" s="20" t="n">
        <x:v>5</x:v>
      </x:c>
      <x:c r="J10" s="6" t="str">
        <x:v>gs_消融.xlsx</x:v>
      </x:c>
      <x:c r="K10" s="6" t="str">
        <x:v>Figure Data</x:v>
      </x:c>
    </x:row>
    <x:row r="11">
      <x:c r="A11" s="6" t="str">
        <x:v>Qwen3-VL-8B-Instruct</x:v>
      </x:c>
      <x:c r="B11" s="6" t="str">
        <x:v>ImageNet-1K</x:v>
      </x:c>
      <x:c r="C11" s="6" t="str">
        <x:v>Classification accuracy</x:v>
      </x:c>
      <x:c r="D11" s="6" t="str">
        <x:v>B = 10</x:v>
      </x:c>
      <x:c r="E11" s="20" t="n">
        <x:v>10</x:v>
      </x:c>
      <x:c r="F11" s="18" t="n">
        <x:v>71.16</x:v>
      </x:c>
      <x:c r="G11" s="18" t="n">
        <x:v>0.44</x:v>
      </x:c>
      <x:c r="H11" s="6" t="str">
        <x:v>%</x:v>
      </x:c>
      <x:c r="I11" s="20" t="n">
        <x:v>5</x:v>
      </x:c>
      <x:c r="J11" s="6" t="str">
        <x:v>gs_消融.xlsx</x:v>
      </x:c>
      <x:c r="K11" s="6" t="str">
        <x:v>Figure Data</x:v>
      </x:c>
    </x:row>
    <x:row r="12">
      <x:c r="A12" s="6" t="str">
        <x:v>Qwen3-VL-8B-Instruct</x:v>
      </x:c>
      <x:c r="B12" s="6" t="str">
        <x:v>CIFAR-100</x:v>
      </x:c>
      <x:c r="C12" s="6" t="str">
        <x:v>Inference latency</x:v>
      </x:c>
      <x:c r="D12" s="6" t="str">
        <x:v>B = 10</x:v>
      </x:c>
      <x:c r="E12" s="20" t="n">
        <x:v>10</x:v>
      </x:c>
      <x:c r="F12" s="18" t="n">
        <x:v>0.37</x:v>
      </x:c>
      <x:c r="G12" s="18" t="n">
        <x:v>0.09</x:v>
      </x:c>
      <x:c r="H12" s="6" t="str">
        <x:v>s/image</x:v>
      </x:c>
      <x:c r="I12" s="20" t="n">
        <x:v>5</x:v>
      </x:c>
      <x:c r="J12" s="6" t="str">
        <x:v>gs_消融.xlsx</x:v>
      </x:c>
      <x:c r="K12" s="6" t="str">
        <x:v>Figure Data</x:v>
      </x:c>
    </x:row>
    <x:row r="13">
      <x:c r="A13" s="6" t="str">
        <x:v>Qwen3-VL-8B-Instruct</x:v>
      </x:c>
      <x:c r="B13" s="6" t="str">
        <x:v>ImageNet-1K</x:v>
      </x:c>
      <x:c r="C13" s="6" t="str">
        <x:v>Inference latency</x:v>
      </x:c>
      <x:c r="D13" s="6" t="str">
        <x:v>B = 10</x:v>
      </x:c>
      <x:c r="E13" s="20" t="n">
        <x:v>10</x:v>
      </x:c>
      <x:c r="F13" s="18" t="n">
        <x:v>1.91</x:v>
      </x:c>
      <x:c r="G13" s="18" t="n">
        <x:v>0.09</x:v>
      </x:c>
      <x:c r="H13" s="6" t="str">
        <x:v>s/image</x:v>
      </x:c>
      <x:c r="I13" s="20" t="n">
        <x:v>5</x:v>
      </x:c>
      <x:c r="J13" s="6" t="str">
        <x:v>gs_消融.xlsx</x:v>
      </x:c>
      <x:c r="K13" s="6" t="str">
        <x:v>Figure Data</x:v>
      </x:c>
    </x:row>
    <x:row r="14">
      <x:c r="A14" s="6" t="str">
        <x:v>Qwen3-VL-8B-Instruct</x:v>
      </x:c>
      <x:c r="B14" s="6" t="str">
        <x:v>CIFAR-100</x:v>
      </x:c>
      <x:c r="C14" s="6" t="str">
        <x:v>Classification accuracy</x:v>
      </x:c>
      <x:c r="D14" s="6" t="str">
        <x:v>B = 20</x:v>
      </x:c>
      <x:c r="E14" s="20" t="n">
        <x:v>20</x:v>
      </x:c>
      <x:c r="F14" s="18" t="n">
        <x:v>81</x:v>
      </x:c>
      <x:c r="G14" s="18" t="n">
        <x:v>0.13</x:v>
      </x:c>
      <x:c r="H14" s="6" t="str">
        <x:v>%</x:v>
      </x:c>
      <x:c r="I14" s="20" t="n">
        <x:v>5</x:v>
      </x:c>
      <x:c r="J14" s="6" t="str">
        <x:v>gs_消融.xlsx</x:v>
      </x:c>
      <x:c r="K14" s="6" t="str">
        <x:v>Figure Data</x:v>
      </x:c>
    </x:row>
    <x:row r="15">
      <x:c r="A15" s="6" t="str">
        <x:v>Qwen3-VL-8B-Instruct</x:v>
      </x:c>
      <x:c r="B15" s="6" t="str">
        <x:v>ImageNet-1K</x:v>
      </x:c>
      <x:c r="C15" s="6" t="str">
        <x:v>Classification accuracy</x:v>
      </x:c>
      <x:c r="D15" s="6" t="str">
        <x:v>B = 20</x:v>
      </x:c>
      <x:c r="E15" s="20" t="n">
        <x:v>20</x:v>
      </x:c>
      <x:c r="F15" s="18" t="n">
        <x:v>70.99</x:v>
      </x:c>
      <x:c r="G15" s="18" t="n">
        <x:v>0.38</x:v>
      </x:c>
      <x:c r="H15" s="6" t="str">
        <x:v>%</x:v>
      </x:c>
      <x:c r="I15" s="20" t="n">
        <x:v>5</x:v>
      </x:c>
      <x:c r="J15" s="6" t="str">
        <x:v>gs_消融.xlsx</x:v>
      </x:c>
      <x:c r="K15" s="6" t="str">
        <x:v>Figure Data</x:v>
      </x:c>
    </x:row>
    <x:row r="16">
      <x:c r="A16" s="6" t="str">
        <x:v>Qwen3-VL-8B-Instruct</x:v>
      </x:c>
      <x:c r="B16" s="6" t="str">
        <x:v>CIFAR-100</x:v>
      </x:c>
      <x:c r="C16" s="6" t="str">
        <x:v>Inference latency</x:v>
      </x:c>
      <x:c r="D16" s="6" t="str">
        <x:v>B = 20</x:v>
      </x:c>
      <x:c r="E16" s="20" t="n">
        <x:v>20</x:v>
      </x:c>
      <x:c r="F16" s="18" t="n">
        <x:v>0.32</x:v>
      </x:c>
      <x:c r="G16" s="18" t="n">
        <x:v>0.11</x:v>
      </x:c>
      <x:c r="H16" s="6" t="str">
        <x:v>s/image</x:v>
      </x:c>
      <x:c r="I16" s="20" t="n">
        <x:v>5</x:v>
      </x:c>
      <x:c r="J16" s="6" t="str">
        <x:v>gs_消融.xlsx</x:v>
      </x:c>
      <x:c r="K16" s="6" t="str">
        <x:v>Figure Data</x:v>
      </x:c>
    </x:row>
    <x:row r="17">
      <x:c r="A17" s="6" t="str">
        <x:v>Qwen3-VL-8B-Instruct</x:v>
      </x:c>
      <x:c r="B17" s="6" t="str">
        <x:v>ImageNet-1K</x:v>
      </x:c>
      <x:c r="C17" s="6" t="str">
        <x:v>Inference latency</x:v>
      </x:c>
      <x:c r="D17" s="6" t="str">
        <x:v>B = 20</x:v>
      </x:c>
      <x:c r="E17" s="20" t="n">
        <x:v>20</x:v>
      </x:c>
      <x:c r="F17" s="18" t="n">
        <x:v>1.63</x:v>
      </x:c>
      <x:c r="G17" s="18" t="n">
        <x:v>0.05</x:v>
      </x:c>
      <x:c r="H17" s="6" t="str">
        <x:v>s/image</x:v>
      </x:c>
      <x:c r="I17" s="20" t="n">
        <x:v>5</x:v>
      </x:c>
      <x:c r="J17" s="6" t="str">
        <x:v>gs_消融.xlsx</x:v>
      </x:c>
      <x:c r="K17" s="6" t="str">
        <x:v>Figure Data</x:v>
      </x:c>
    </x:row>
    <x:row r="18">
      <x:c r="A18" s="6" t="str">
        <x:v>Qwen3-VL-8B-Instruct</x:v>
      </x:c>
      <x:c r="B18" s="6" t="str">
        <x:v>CIFAR-100</x:v>
      </x:c>
      <x:c r="C18" s="6" t="str">
        <x:v>Classification accuracy</x:v>
      </x:c>
      <x:c r="D18" s="6" t="str">
        <x:v>B = 50</x:v>
      </x:c>
      <x:c r="E18" s="20" t="n">
        <x:v>50</x:v>
      </x:c>
      <x:c r="F18" s="18" t="n">
        <x:v>80.27</x:v>
      </x:c>
      <x:c r="G18" s="18" t="n">
        <x:v>0.15</x:v>
      </x:c>
      <x:c r="H18" s="6" t="str">
        <x:v>%</x:v>
      </x:c>
      <x:c r="I18" s="20" t="n">
        <x:v>5</x:v>
      </x:c>
      <x:c r="J18" s="6" t="str">
        <x:v>gs_消融.xlsx</x:v>
      </x:c>
      <x:c r="K18" s="6" t="str">
        <x:v>Figure Data</x:v>
      </x:c>
    </x:row>
    <x:row r="19">
      <x:c r="A19" s="6" t="str">
        <x:v>Qwen3-VL-8B-Instruct</x:v>
      </x:c>
      <x:c r="B19" s="6" t="str">
        <x:v>ImageNet-1K</x:v>
      </x:c>
      <x:c r="C19" s="6" t="str">
        <x:v>Classification accuracy</x:v>
      </x:c>
      <x:c r="D19" s="6" t="str">
        <x:v>B = 50</x:v>
      </x:c>
      <x:c r="E19" s="20" t="n">
        <x:v>50</x:v>
      </x:c>
      <x:c r="F19" s="18" t="n">
        <x:v>70.14</x:v>
      </x:c>
      <x:c r="G19" s="18" t="n">
        <x:v>0.23</x:v>
      </x:c>
      <x:c r="H19" s="6" t="str">
        <x:v>%</x:v>
      </x:c>
      <x:c r="I19" s="20" t="n">
        <x:v>5</x:v>
      </x:c>
      <x:c r="J19" s="6" t="str">
        <x:v>gs_消融.xlsx</x:v>
      </x:c>
      <x:c r="K19" s="6" t="str">
        <x:v>Figure Data</x:v>
      </x:c>
    </x:row>
    <x:row r="20">
      <x:c r="A20" s="6" t="str">
        <x:v>Qwen3-VL-8B-Instruct</x:v>
      </x:c>
      <x:c r="B20" s="6" t="str">
        <x:v>CIFAR-100</x:v>
      </x:c>
      <x:c r="C20" s="6" t="str">
        <x:v>Inference latency</x:v>
      </x:c>
      <x:c r="D20" s="6" t="str">
        <x:v>B = 50</x:v>
      </x:c>
      <x:c r="E20" s="20" t="n">
        <x:v>50</x:v>
      </x:c>
      <x:c r="F20" s="18" t="n">
        <x:v>0.26</x:v>
      </x:c>
      <x:c r="G20" s="18" t="n">
        <x:v>0.04</x:v>
      </x:c>
      <x:c r="H20" s="6" t="str">
        <x:v>s/image</x:v>
      </x:c>
      <x:c r="I20" s="20" t="n">
        <x:v>5</x:v>
      </x:c>
      <x:c r="J20" s="6" t="str">
        <x:v>gs_消融.xlsx</x:v>
      </x:c>
      <x:c r="K20" s="6" t="str">
        <x:v>Figure Data</x:v>
      </x:c>
    </x:row>
    <x:row r="21">
      <x:c r="A21" s="6" t="str">
        <x:v>Qwen3-VL-8B-Instruct</x:v>
      </x:c>
      <x:c r="B21" s="6" t="str">
        <x:v>ImageNet-1K</x:v>
      </x:c>
      <x:c r="C21" s="6" t="str">
        <x:v>Inference latency</x:v>
      </x:c>
      <x:c r="D21" s="6" t="str">
        <x:v>B = 50</x:v>
      </x:c>
      <x:c r="E21" s="20" t="n">
        <x:v>50</x:v>
      </x:c>
      <x:c r="F21" s="18" t="n">
        <x:v>1.32</x:v>
      </x:c>
      <x:c r="G21" s="18" t="n">
        <x:v>0.08</x:v>
      </x:c>
      <x:c r="H21" s="6" t="str">
        <x:v>s/image</x:v>
      </x:c>
      <x:c r="I21" s="20" t="n">
        <x:v>5</x:v>
      </x:c>
      <x:c r="J21" s="6" t="str">
        <x:v>gs_消融.xlsx</x:v>
      </x:c>
      <x:c r="K21" s="6" t="str">
        <x:v>Figure Data</x:v>
      </x:c>
    </x:row>
    <x:row r="22">
      <x:c r="A22" s="6" t="str">
        <x:v>Qwen3-VL-8B-Instruct</x:v>
      </x:c>
      <x:c r="B22" s="6" t="str">
        <x:v>CIFAR-100</x:v>
      </x:c>
      <x:c r="C22" s="6" t="str">
        <x:v>Classification accuracy</x:v>
      </x:c>
      <x:c r="D22" s="6" t="str">
        <x:v>Baseline</x:v>
      </x:c>
      <x:c r="E22" s="20"/>
      <x:c r="F22" s="18" t="n">
        <x:v>78.72</x:v>
      </x:c>
      <x:c r="G22" s="18" t="n">
        <x:v>0.16</x:v>
      </x:c>
      <x:c r="H22" s="6" t="str">
        <x:v>%</x:v>
      </x:c>
      <x:c r="I22" s="20" t="n">
        <x:v>5</x:v>
      </x:c>
      <x:c r="J22" s="6" t="str">
        <x:v>gs_消融.xlsx</x:v>
      </x:c>
      <x:c r="K22" s="6" t="str">
        <x:v>Figure Data</x:v>
      </x:c>
    </x:row>
    <x:row r="23">
      <x:c r="A23" s="6" t="str">
        <x:v>Qwen3-VL-8B-Instruct</x:v>
      </x:c>
      <x:c r="B23" s="6" t="str">
        <x:v>ImageNet-1K</x:v>
      </x:c>
      <x:c r="C23" s="6" t="str">
        <x:v>Classification accuracy</x:v>
      </x:c>
      <x:c r="D23" s="6" t="str">
        <x:v>Baseline</x:v>
      </x:c>
      <x:c r="E23" s="20"/>
      <x:c r="F23" s="18" t="n">
        <x:v>67.56</x:v>
      </x:c>
      <x:c r="G23" s="18" t="n">
        <x:v>0.38</x:v>
      </x:c>
      <x:c r="H23" s="6" t="str">
        <x:v>%</x:v>
      </x:c>
      <x:c r="I23" s="20" t="n">
        <x:v>5</x:v>
      </x:c>
      <x:c r="J23" s="6" t="str">
        <x:v>gs_消融.xlsx</x:v>
      </x:c>
      <x:c r="K23" s="6" t="str">
        <x:v>Figure Data</x:v>
      </x:c>
    </x:row>
    <x:row r="24">
      <x:c r="A24" s="6" t="str">
        <x:v>Qwen3-VL-8B-Instruct</x:v>
      </x:c>
      <x:c r="B24" s="6" t="str">
        <x:v>CIFAR-100</x:v>
      </x:c>
      <x:c r="C24" s="6" t="str">
        <x:v>Inference latency</x:v>
      </x:c>
      <x:c r="D24" s="6" t="str">
        <x:v>Baseline</x:v>
      </x:c>
      <x:c r="E24" s="20"/>
      <x:c r="F24" s="18" t="n">
        <x:v>0.2</x:v>
      </x:c>
      <x:c r="G24" s="18" t="n">
        <x:v>0.05</x:v>
      </x:c>
      <x:c r="H24" s="6" t="str">
        <x:v>s/image</x:v>
      </x:c>
      <x:c r="I24" s="20" t="n">
        <x:v>5</x:v>
      </x:c>
      <x:c r="J24" s="6" t="str">
        <x:v>gs_消融.xlsx</x:v>
      </x:c>
      <x:c r="K24" s="6" t="str">
        <x:v>Figure Data</x:v>
      </x:c>
    </x:row>
    <x:row r="25">
      <x:c r="A25" s="6" t="str">
        <x:v>Qwen3-VL-8B-Instruct</x:v>
      </x:c>
      <x:c r="B25" s="6" t="str">
        <x:v>ImageNet-1K</x:v>
      </x:c>
      <x:c r="C25" s="6" t="str">
        <x:v>Inference latency</x:v>
      </x:c>
      <x:c r="D25" s="6" t="str">
        <x:v>Baseline</x:v>
      </x:c>
      <x:c r="E25" s="20"/>
      <x:c r="F25" s="18" t="n">
        <x:v>1.05</x:v>
      </x:c>
      <x:c r="G25" s="18" t="n">
        <x:v>0.06</x:v>
      </x:c>
      <x:c r="H25" s="6" t="str">
        <x:v>s/image</x:v>
      </x:c>
      <x:c r="I25" s="20" t="n">
        <x:v>5</x:v>
      </x:c>
      <x:c r="J25" s="6" t="str">
        <x:v>gs_消融.xlsx</x:v>
      </x:c>
      <x:c r="K25" s="6" t="str">
        <x:v>Figure Data</x:v>
      </x:c>
    </x:row>
  </x:sheetData>
  <x:pageMargins left="0.7" right="0.7" top="0.75" bottom="0.75" header="0.3" footer="0.3"/>
  <x:tableParts count="1">
    <x:tablePart xmlns:r="http://schemas.openxmlformats.org/officeDocument/2006/relationships" r:id="R8ceac09fe94f4df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12" hidden="0" customWidth="1"/>
    <x:col min="5" max="5" width="14" hidden="0" customWidth="1"/>
    <x:col min="6" max="6" width="14" hidden="0" customWidth="1"/>
    <x:col min="7" max="7" width="24" hidden="0" customWidth="1"/>
    <x:col min="8" max="8" width="12" hidden="0" customWidth="1"/>
    <x:col min="9" max="9" width="25" hidden="0" customWidth="1"/>
    <x:col min="10" max="10" width="25" hidden="0" customWidth="1"/>
  </x:cols>
  <x:sheetData>
    <x:row r="1" ht="32" customHeight="1">
      <x:c r="A1" s="14" t="str">
        <x:v>Model</x:v>
      </x:c>
      <x:c r="B1" s="15" t="str">
        <x:v>Dataset</x:v>
      </x:c>
      <x:c r="C1" s="15" t="str">
        <x:v>Grouping Strategy</x:v>
      </x:c>
      <x:c r="D1" s="19" t="str">
        <x:v>Group Size B</x:v>
      </x:c>
      <x:c r="E1" s="17" t="str">
        <x:v>Mean Accuracy (%)</x:v>
      </x:c>
      <x:c r="F1" s="17" t="str">
        <x:v>SD (pp)</x:v>
      </x:c>
      <x:c r="G1" s="15" t="str">
        <x:v>Unit</x:v>
      </x:c>
      <x:c r="H1" s="19" t="str">
        <x:v>Runs</x:v>
      </x:c>
      <x:c r="I1" s="15" t="str">
        <x:v>Source Workbook</x:v>
      </x:c>
      <x:c r="J1" s="16" t="str">
        <x:v>Authority Sheet</x:v>
      </x:c>
    </x:row>
    <x:row r="2">
      <x:c r="A2" s="6" t="str">
        <x:v>Qwen2.5-VL-7B-Instruct</x:v>
      </x:c>
      <x:c r="B2" s="6" t="str">
        <x:v>ImageNet-1K</x:v>
      </x:c>
      <x:c r="C2" s="6" t="str">
        <x:v>Random</x:v>
      </x:c>
      <x:c r="D2" s="20" t="n">
        <x:v>10</x:v>
      </x:c>
      <x:c r="E2" s="18" t="n">
        <x:v>71.57</x:v>
      </x:c>
      <x:c r="F2" s="18" t="n">
        <x:v>0.68</x:v>
      </x:c>
      <x:c r="G2" s="6" t="str">
        <x:v>%</x:v>
      </x:c>
      <x:c r="H2" s="20" t="n">
        <x:v>5</x:v>
      </x:c>
      <x:c r="I2" s="6" t="str">
        <x:v>分组策略.xlsx</x:v>
      </x:c>
      <x:c r="J2" s="6" t="str">
        <x:v>Table 1</x:v>
      </x:c>
    </x:row>
    <x:row r="3">
      <x:c r="A3" s="6" t="str">
        <x:v>Qwen3-VL-4B-Instruct</x:v>
      </x:c>
      <x:c r="B3" s="6" t="str">
        <x:v>ImageNet-1K</x:v>
      </x:c>
      <x:c r="C3" s="6" t="str">
        <x:v>Random</x:v>
      </x:c>
      <x:c r="D3" s="20" t="n">
        <x:v>10</x:v>
      </x:c>
      <x:c r="E3" s="18" t="n">
        <x:v>69.09</x:v>
      </x:c>
      <x:c r="F3" s="18" t="n">
        <x:v>0.23</x:v>
      </x:c>
      <x:c r="G3" s="6" t="str">
        <x:v>%</x:v>
      </x:c>
      <x:c r="H3" s="20" t="n">
        <x:v>5</x:v>
      </x:c>
      <x:c r="I3" s="6" t="str">
        <x:v>分组策略.xlsx</x:v>
      </x:c>
      <x:c r="J3" s="6" t="str">
        <x:v>Table 1</x:v>
      </x:c>
    </x:row>
    <x:row r="4">
      <x:c r="A4" s="6" t="str">
        <x:v>Qwen2.5-VL-7B-Instruct</x:v>
      </x:c>
      <x:c r="B4" s="6" t="str">
        <x:v>ImageNet-1K</x:v>
      </x:c>
      <x:c r="C4" s="6" t="str">
        <x:v>Most similar</x:v>
      </x:c>
      <x:c r="D4" s="20" t="n">
        <x:v>10</x:v>
      </x:c>
      <x:c r="E4" s="18" t="n">
        <x:v>71.32</x:v>
      </x:c>
      <x:c r="F4" s="18" t="n">
        <x:v>0.42</x:v>
      </x:c>
      <x:c r="G4" s="6" t="str">
        <x:v>%</x:v>
      </x:c>
      <x:c r="H4" s="20" t="n">
        <x:v>5</x:v>
      </x:c>
      <x:c r="I4" s="6" t="str">
        <x:v>分组策略.xlsx</x:v>
      </x:c>
      <x:c r="J4" s="6" t="str">
        <x:v>Table 1</x:v>
      </x:c>
    </x:row>
    <x:row r="5">
      <x:c r="A5" s="6" t="str">
        <x:v>Qwen3-VL-4B-Instruct</x:v>
      </x:c>
      <x:c r="B5" s="6" t="str">
        <x:v>ImageNet-1K</x:v>
      </x:c>
      <x:c r="C5" s="6" t="str">
        <x:v>Most similar</x:v>
      </x:c>
      <x:c r="D5" s="20" t="n">
        <x:v>10</x:v>
      </x:c>
      <x:c r="E5" s="18" t="n">
        <x:v>68.81</x:v>
      </x:c>
      <x:c r="F5" s="18" t="n">
        <x:v>0.35</x:v>
      </x:c>
      <x:c r="G5" s="6" t="str">
        <x:v>%</x:v>
      </x:c>
      <x:c r="H5" s="20" t="n">
        <x:v>5</x:v>
      </x:c>
      <x:c r="I5" s="6" t="str">
        <x:v>分组策略.xlsx</x:v>
      </x:c>
      <x:c r="J5" s="6" t="str">
        <x:v>Table 1</x:v>
      </x:c>
    </x:row>
    <x:row r="6">
      <x:c r="A6" s="6" t="str">
        <x:v>Qwen2.5-VL-7B-Instruct</x:v>
      </x:c>
      <x:c r="B6" s="6" t="str">
        <x:v>ImageNet-1K</x:v>
      </x:c>
      <x:c r="C6" s="6" t="str">
        <x:v>Least similar</x:v>
      </x:c>
      <x:c r="D6" s="20" t="n">
        <x:v>10</x:v>
      </x:c>
      <x:c r="E6" s="18" t="n">
        <x:v>71.39</x:v>
      </x:c>
      <x:c r="F6" s="18" t="n">
        <x:v>0.61</x:v>
      </x:c>
      <x:c r="G6" s="6" t="str">
        <x:v>%</x:v>
      </x:c>
      <x:c r="H6" s="20" t="n">
        <x:v>5</x:v>
      </x:c>
      <x:c r="I6" s="6" t="str">
        <x:v>分组策略.xlsx</x:v>
      </x:c>
      <x:c r="J6" s="6" t="str">
        <x:v>Table 1</x:v>
      </x:c>
    </x:row>
    <x:row r="7">
      <x:c r="A7" s="6" t="str">
        <x:v>Qwen3-VL-4B-Instruct</x:v>
      </x:c>
      <x:c r="B7" s="6" t="str">
        <x:v>ImageNet-1K</x:v>
      </x:c>
      <x:c r="C7" s="6" t="str">
        <x:v>Least similar</x:v>
      </x:c>
      <x:c r="D7" s="20" t="n">
        <x:v>10</x:v>
      </x:c>
      <x:c r="E7" s="18" t="n">
        <x:v>69.11</x:v>
      </x:c>
      <x:c r="F7" s="18" t="n">
        <x:v>0.37</x:v>
      </x:c>
      <x:c r="G7" s="6" t="str">
        <x:v>%</x:v>
      </x:c>
      <x:c r="H7" s="20" t="n">
        <x:v>5</x:v>
      </x:c>
      <x:c r="I7" s="6" t="str">
        <x:v>分组策略.xlsx</x:v>
      </x:c>
      <x:c r="J7" s="6" t="str">
        <x:v>Table 1</x:v>
      </x:c>
    </x:row>
  </x:sheetData>
  <x:pageMargins left="0.7" right="0.7" top="0.75" bottom="0.75" header="0.3" footer="0.3"/>
  <x:tableParts count="1">
    <x:tablePart xmlns:r="http://schemas.openxmlformats.org/officeDocument/2006/relationships" r:id="R8508d25ab8754c3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12" hidden="0" customWidth="1"/>
    <x:col min="5" max="5" width="12" hidden="0" customWidth="1"/>
    <x:col min="6" max="6" width="12" hidden="0" customWidth="1"/>
    <x:col min="7" max="7" width="14" hidden="0" customWidth="1"/>
    <x:col min="8" max="8" width="24" hidden="0" customWidth="1"/>
    <x:col min="9" max="9" width="12" hidden="0" customWidth="1"/>
    <x:col min="10" max="10" width="25" hidden="0" customWidth="1"/>
    <x:col min="11" max="11" width="25" hidden="0" customWidth="1"/>
  </x:cols>
  <x:sheetData>
    <x:row r="1" ht="32" customHeight="1">
      <x:c r="A1" s="14" t="str">
        <x:v>Model</x:v>
      </x:c>
      <x:c r="B1" s="15" t="str">
        <x:v>Dataset</x:v>
      </x:c>
      <x:c r="C1" s="15" t="str">
        <x:v>Metric</x:v>
      </x:c>
      <x:c r="D1" s="15" t="str">
        <x:v>Configuration</x:v>
      </x:c>
      <x:c r="E1" s="19" t="str">
        <x:v>Group Size B</x:v>
      </x:c>
      <x:c r="F1" s="17" t="str">
        <x:v>Mean</x:v>
      </x:c>
      <x:c r="G1" s="17" t="str">
        <x:v>SD</x:v>
      </x:c>
      <x:c r="H1" s="15" t="str">
        <x:v>Unit</x:v>
      </x:c>
      <x:c r="I1" s="19" t="str">
        <x:v>Runs</x:v>
      </x:c>
      <x:c r="J1" s="15" t="str">
        <x:v>Source Workbook</x:v>
      </x:c>
      <x:c r="K1" s="16" t="str">
        <x:v>Authority Sheet</x:v>
      </x:c>
    </x:row>
    <x:row r="2">
      <x:c r="A2" s="6" t="str">
        <x:v>Qwen3-VL-2B-Instruct</x:v>
      </x:c>
      <x:c r="B2" s="6" t="str">
        <x:v>ImageNet-21K</x:v>
      </x:c>
      <x:c r="C2" s="6" t="str">
        <x:v>Classification accuracy</x:v>
      </x:c>
      <x:c r="D2" s="6" t="str">
        <x:v>B = 50</x:v>
      </x:c>
      <x:c r="E2" s="20" t="n">
        <x:v>50</x:v>
      </x:c>
      <x:c r="F2" s="18" t="n">
        <x:v>16.54</x:v>
      </x:c>
      <x:c r="G2" s="18" t="n">
        <x:v>0.93</x:v>
      </x:c>
      <x:c r="H2" s="6" t="str">
        <x:v>%</x:v>
      </x:c>
      <x:c r="I2" s="20" t="n">
        <x:v>5</x:v>
      </x:c>
      <x:c r="J2" s="6" t="str">
        <x:v>imagenet21k_gs消融.xlsx</x:v>
      </x:c>
      <x:c r="K2" s="6" t="str">
        <x:v>Paper Table</x:v>
      </x:c>
    </x:row>
    <x:row r="3">
      <x:c r="A3" s="6" t="str">
        <x:v>Qwen3-VL-2B-Instruct</x:v>
      </x:c>
      <x:c r="B3" s="6" t="str">
        <x:v>ImageNet-21K</x:v>
      </x:c>
      <x:c r="C3" s="6" t="str">
        <x:v>Inference latency</x:v>
      </x:c>
      <x:c r="D3" s="6" t="str">
        <x:v>B = 50</x:v>
      </x:c>
      <x:c r="E3" s="20" t="n">
        <x:v>50</x:v>
      </x:c>
      <x:c r="F3" s="18" t="n">
        <x:v>13.49</x:v>
      </x:c>
      <x:c r="G3" s="18" t="n">
        <x:v>0.23</x:v>
      </x:c>
      <x:c r="H3" s="6" t="str">
        <x:v>s/image</x:v>
      </x:c>
      <x:c r="I3" s="20" t="n">
        <x:v>5</x:v>
      </x:c>
      <x:c r="J3" s="6" t="str">
        <x:v>imagenet21k_gs消融.xlsx</x:v>
      </x:c>
      <x:c r="K3" s="6" t="str">
        <x:v>Paper Table</x:v>
      </x:c>
    </x:row>
    <x:row r="4">
      <x:c r="A4" s="6" t="str">
        <x:v>Gemma-4-E4B</x:v>
      </x:c>
      <x:c r="B4" s="6" t="str">
        <x:v>ImageNet-21K</x:v>
      </x:c>
      <x:c r="C4" s="6" t="str">
        <x:v>Classification accuracy</x:v>
      </x:c>
      <x:c r="D4" s="6" t="str">
        <x:v>B = 50</x:v>
      </x:c>
      <x:c r="E4" s="20" t="n">
        <x:v>50</x:v>
      </x:c>
      <x:c r="F4" s="18" t="n">
        <x:v>12.88</x:v>
      </x:c>
      <x:c r="G4" s="18" t="n">
        <x:v>0.45</x:v>
      </x:c>
      <x:c r="H4" s="6" t="str">
        <x:v>%</x:v>
      </x:c>
      <x:c r="I4" s="20" t="n">
        <x:v>5</x:v>
      </x:c>
      <x:c r="J4" s="6" t="str">
        <x:v>imagenet21k_gs消融.xlsx</x:v>
      </x:c>
      <x:c r="K4" s="6" t="str">
        <x:v>Paper Table</x:v>
      </x:c>
    </x:row>
    <x:row r="5">
      <x:c r="A5" s="6" t="str">
        <x:v>Gemma-4-E4B</x:v>
      </x:c>
      <x:c r="B5" s="6" t="str">
        <x:v>ImageNet-21K</x:v>
      </x:c>
      <x:c r="C5" s="6" t="str">
        <x:v>Inference latency</x:v>
      </x:c>
      <x:c r="D5" s="6" t="str">
        <x:v>B = 50</x:v>
      </x:c>
      <x:c r="E5" s="20" t="n">
        <x:v>50</x:v>
      </x:c>
      <x:c r="F5" s="18" t="n">
        <x:v>10.33</x:v>
      </x:c>
      <x:c r="G5" s="18" t="n">
        <x:v>0.19</x:v>
      </x:c>
      <x:c r="H5" s="6" t="str">
        <x:v>s/image</x:v>
      </x:c>
      <x:c r="I5" s="20" t="n">
        <x:v>5</x:v>
      </x:c>
      <x:c r="J5" s="6" t="str">
        <x:v>imagenet21k_gs消融.xlsx</x:v>
      </x:c>
      <x:c r="K5" s="6" t="str">
        <x:v>Paper Table</x:v>
      </x:c>
    </x:row>
    <x:row r="6">
      <x:c r="A6" s="6" t="str">
        <x:v>Qwen3-VL-2B-Instruct</x:v>
      </x:c>
      <x:c r="B6" s="6" t="str">
        <x:v>ImageNet-21K</x:v>
      </x:c>
      <x:c r="C6" s="6" t="str">
        <x:v>Classification accuracy</x:v>
      </x:c>
      <x:c r="D6" s="6" t="str">
        <x:v>B = 100</x:v>
      </x:c>
      <x:c r="E6" s="20" t="n">
        <x:v>100</x:v>
      </x:c>
      <x:c r="F6" s="18" t="n">
        <x:v>20.14</x:v>
      </x:c>
      <x:c r="G6" s="18" t="n">
        <x:v>1.16</x:v>
      </x:c>
      <x:c r="H6" s="6" t="str">
        <x:v>%</x:v>
      </x:c>
      <x:c r="I6" s="20" t="n">
        <x:v>5</x:v>
      </x:c>
      <x:c r="J6" s="6" t="str">
        <x:v>imagenet21k_gs消融.xlsx</x:v>
      </x:c>
      <x:c r="K6" s="6" t="str">
        <x:v>Paper Table</x:v>
      </x:c>
    </x:row>
    <x:row r="7">
      <x:c r="A7" s="6" t="str">
        <x:v>Qwen3-VL-2B-Instruct</x:v>
      </x:c>
      <x:c r="B7" s="6" t="str">
        <x:v>ImageNet-21K</x:v>
      </x:c>
      <x:c r="C7" s="6" t="str">
        <x:v>Inference latency</x:v>
      </x:c>
      <x:c r="D7" s="6" t="str">
        <x:v>B = 100</x:v>
      </x:c>
      <x:c r="E7" s="20" t="n">
        <x:v>100</x:v>
      </x:c>
      <x:c r="F7" s="18" t="n">
        <x:v>10.55</x:v>
      </x:c>
      <x:c r="G7" s="18" t="n">
        <x:v>0.18</x:v>
      </x:c>
      <x:c r="H7" s="6" t="str">
        <x:v>s/image</x:v>
      </x:c>
      <x:c r="I7" s="20" t="n">
        <x:v>5</x:v>
      </x:c>
      <x:c r="J7" s="6" t="str">
        <x:v>imagenet21k_gs消融.xlsx</x:v>
      </x:c>
      <x:c r="K7" s="6" t="str">
        <x:v>Paper Table</x:v>
      </x:c>
    </x:row>
    <x:row r="8">
      <x:c r="A8" s="6" t="str">
        <x:v>Gemma-4-E4B</x:v>
      </x:c>
      <x:c r="B8" s="6" t="str">
        <x:v>ImageNet-21K</x:v>
      </x:c>
      <x:c r="C8" s="6" t="str">
        <x:v>Classification accuracy</x:v>
      </x:c>
      <x:c r="D8" s="6" t="str">
        <x:v>B = 100</x:v>
      </x:c>
      <x:c r="E8" s="20" t="n">
        <x:v>100</x:v>
      </x:c>
      <x:c r="F8" s="18" t="n">
        <x:v>13.46</x:v>
      </x:c>
      <x:c r="G8" s="18" t="n">
        <x:v>0.65</x:v>
      </x:c>
      <x:c r="H8" s="6" t="str">
        <x:v>%</x:v>
      </x:c>
      <x:c r="I8" s="20" t="n">
        <x:v>5</x:v>
      </x:c>
      <x:c r="J8" s="6" t="str">
        <x:v>imagenet21k_gs消融.xlsx</x:v>
      </x:c>
      <x:c r="K8" s="6" t="str">
        <x:v>Paper Table</x:v>
      </x:c>
    </x:row>
    <x:row r="9">
      <x:c r="A9" s="6" t="str">
        <x:v>Gemma-4-E4B</x:v>
      </x:c>
      <x:c r="B9" s="6" t="str">
        <x:v>ImageNet-21K</x:v>
      </x:c>
      <x:c r="C9" s="6" t="str">
        <x:v>Inference latency</x:v>
      </x:c>
      <x:c r="D9" s="6" t="str">
        <x:v>B = 100</x:v>
      </x:c>
      <x:c r="E9" s="20" t="n">
        <x:v>100</x:v>
      </x:c>
      <x:c r="F9" s="18" t="n">
        <x:v>7.59</x:v>
      </x:c>
      <x:c r="G9" s="18" t="n">
        <x:v>0.21</x:v>
      </x:c>
      <x:c r="H9" s="6" t="str">
        <x:v>s/image</x:v>
      </x:c>
      <x:c r="I9" s="20" t="n">
        <x:v>5</x:v>
      </x:c>
      <x:c r="J9" s="6" t="str">
        <x:v>imagenet21k_gs消融.xlsx</x:v>
      </x:c>
      <x:c r="K9" s="6" t="str">
        <x:v>Paper Table</x:v>
      </x:c>
    </x:row>
    <x:row r="10">
      <x:c r="A10" s="6" t="str">
        <x:v>Qwen3-VL-2B-Instruct</x:v>
      </x:c>
      <x:c r="B10" s="6" t="str">
        <x:v>ImageNet-21K</x:v>
      </x:c>
      <x:c r="C10" s="6" t="str">
        <x:v>Classification accuracy</x:v>
      </x:c>
      <x:c r="D10" s="6" t="str">
        <x:v>B = 500</x:v>
      </x:c>
      <x:c r="E10" s="20" t="n">
        <x:v>500</x:v>
      </x:c>
      <x:c r="F10" s="18" t="n">
        <x:v>19.7</x:v>
      </x:c>
      <x:c r="G10" s="18" t="n">
        <x:v>1.08</x:v>
      </x:c>
      <x:c r="H10" s="6" t="str">
        <x:v>%</x:v>
      </x:c>
      <x:c r="I10" s="20" t="n">
        <x:v>5</x:v>
      </x:c>
      <x:c r="J10" s="6" t="str">
        <x:v>imagenet21k_gs消融.xlsx</x:v>
      </x:c>
      <x:c r="K10" s="6" t="str">
        <x:v>Paper Table</x:v>
      </x:c>
    </x:row>
    <x:row r="11">
      <x:c r="A11" s="6" t="str">
        <x:v>Qwen3-VL-2B-Instruct</x:v>
      </x:c>
      <x:c r="B11" s="6" t="str">
        <x:v>ImageNet-21K</x:v>
      </x:c>
      <x:c r="C11" s="6" t="str">
        <x:v>Inference latency</x:v>
      </x:c>
      <x:c r="D11" s="6" t="str">
        <x:v>B = 500</x:v>
      </x:c>
      <x:c r="E11" s="20" t="n">
        <x:v>500</x:v>
      </x:c>
      <x:c r="F11" s="18" t="n">
        <x:v>5.99</x:v>
      </x:c>
      <x:c r="G11" s="18" t="n">
        <x:v>0.19</x:v>
      </x:c>
      <x:c r="H11" s="6" t="str">
        <x:v>s/image</x:v>
      </x:c>
      <x:c r="I11" s="20" t="n">
        <x:v>5</x:v>
      </x:c>
      <x:c r="J11" s="6" t="str">
        <x:v>imagenet21k_gs消融.xlsx</x:v>
      </x:c>
      <x:c r="K11" s="6" t="str">
        <x:v>Paper Table</x:v>
      </x:c>
    </x:row>
    <x:row r="12">
      <x:c r="A12" s="6" t="str">
        <x:v>Gemma-4-E4B</x:v>
      </x:c>
      <x:c r="B12" s="6" t="str">
        <x:v>ImageNet-21K</x:v>
      </x:c>
      <x:c r="C12" s="6" t="str">
        <x:v>Classification accuracy</x:v>
      </x:c>
      <x:c r="D12" s="6" t="str">
        <x:v>B = 500</x:v>
      </x:c>
      <x:c r="E12" s="20" t="n">
        <x:v>500</x:v>
      </x:c>
      <x:c r="F12" s="18" t="n">
        <x:v>15.82</x:v>
      </x:c>
      <x:c r="G12" s="18" t="n">
        <x:v>0.43</x:v>
      </x:c>
      <x:c r="H12" s="6" t="str">
        <x:v>%</x:v>
      </x:c>
      <x:c r="I12" s="20" t="n">
        <x:v>5</x:v>
      </x:c>
      <x:c r="J12" s="6" t="str">
        <x:v>imagenet21k_gs消融.xlsx</x:v>
      </x:c>
      <x:c r="K12" s="6" t="str">
        <x:v>Paper Table</x:v>
      </x:c>
    </x:row>
    <x:row r="13">
      <x:c r="A13" s="6" t="str">
        <x:v>Gemma-4-E4B</x:v>
      </x:c>
      <x:c r="B13" s="6" t="str">
        <x:v>ImageNet-21K</x:v>
      </x:c>
      <x:c r="C13" s="6" t="str">
        <x:v>Inference latency</x:v>
      </x:c>
      <x:c r="D13" s="6" t="str">
        <x:v>B = 500</x:v>
      </x:c>
      <x:c r="E13" s="20" t="n">
        <x:v>500</x:v>
      </x:c>
      <x:c r="F13" s="18" t="n">
        <x:v>6.88</x:v>
      </x:c>
      <x:c r="G13" s="18" t="n">
        <x:v>0.13</x:v>
      </x:c>
      <x:c r="H13" s="6" t="str">
        <x:v>s/image</x:v>
      </x:c>
      <x:c r="I13" s="20" t="n">
        <x:v>5</x:v>
      </x:c>
      <x:c r="J13" s="6" t="str">
        <x:v>imagenet21k_gs消融.xlsx</x:v>
      </x:c>
      <x:c r="K13" s="6" t="str">
        <x:v>Paper Table</x:v>
      </x:c>
    </x:row>
    <x:row r="14">
      <x:c r="A14" s="6" t="str">
        <x:v>Qwen3-VL-2B-Instruct</x:v>
      </x:c>
      <x:c r="B14" s="6" t="str">
        <x:v>ImageNet-21K</x:v>
      </x:c>
      <x:c r="C14" s="6" t="str">
        <x:v>Classification accuracy</x:v>
      </x:c>
      <x:c r="D14" s="6" t="str">
        <x:v>B = 1000</x:v>
      </x:c>
      <x:c r="E14" s="20" t="n">
        <x:v>1000</x:v>
      </x:c>
      <x:c r="F14" s="18" t="n">
        <x:v>18.24</x:v>
      </x:c>
      <x:c r="G14" s="18" t="n">
        <x:v>1.02</x:v>
      </x:c>
      <x:c r="H14" s="6" t="str">
        <x:v>%</x:v>
      </x:c>
      <x:c r="I14" s="20" t="n">
        <x:v>5</x:v>
      </x:c>
      <x:c r="J14" s="6" t="str">
        <x:v>imagenet21k_gs消融.xlsx</x:v>
      </x:c>
      <x:c r="K14" s="6" t="str">
        <x:v>Paper Table</x:v>
      </x:c>
    </x:row>
    <x:row r="15">
      <x:c r="A15" s="6" t="str">
        <x:v>Qwen3-VL-2B-Instruct</x:v>
      </x:c>
      <x:c r="B15" s="6" t="str">
        <x:v>ImageNet-21K</x:v>
      </x:c>
      <x:c r="C15" s="6" t="str">
        <x:v>Inference latency</x:v>
      </x:c>
      <x:c r="D15" s="6" t="str">
        <x:v>B = 1000</x:v>
      </x:c>
      <x:c r="E15" s="20" t="n">
        <x:v>1000</x:v>
      </x:c>
      <x:c r="F15" s="18" t="n">
        <x:v>6</x:v>
      </x:c>
      <x:c r="G15" s="18" t="n">
        <x:v>0.11</x:v>
      </x:c>
      <x:c r="H15" s="6" t="str">
        <x:v>s/image</x:v>
      </x:c>
      <x:c r="I15" s="20" t="n">
        <x:v>5</x:v>
      </x:c>
      <x:c r="J15" s="6" t="str">
        <x:v>imagenet21k_gs消融.xlsx</x:v>
      </x:c>
      <x:c r="K15" s="6" t="str">
        <x:v>Paper Table</x:v>
      </x:c>
    </x:row>
    <x:row r="16">
      <x:c r="A16" s="6" t="str">
        <x:v>Gemma-4-E4B</x:v>
      </x:c>
      <x:c r="B16" s="6" t="str">
        <x:v>ImageNet-21K</x:v>
      </x:c>
      <x:c r="C16" s="6" t="str">
        <x:v>Classification accuracy</x:v>
      </x:c>
      <x:c r="D16" s="6" t="str">
        <x:v>B = 1000</x:v>
      </x:c>
      <x:c r="E16" s="20" t="n">
        <x:v>1000</x:v>
      </x:c>
      <x:c r="F16" s="18" t="n">
        <x:v>12.42</x:v>
      </x:c>
      <x:c r="G16" s="18" t="n">
        <x:v>0.51</x:v>
      </x:c>
      <x:c r="H16" s="6" t="str">
        <x:v>%</x:v>
      </x:c>
      <x:c r="I16" s="20" t="n">
        <x:v>5</x:v>
      </x:c>
      <x:c r="J16" s="6" t="str">
        <x:v>imagenet21k_gs消融.xlsx</x:v>
      </x:c>
      <x:c r="K16" s="6" t="str">
        <x:v>Paper Table</x:v>
      </x:c>
    </x:row>
    <x:row r="17">
      <x:c r="A17" s="6" t="str">
        <x:v>Gemma-4-E4B</x:v>
      </x:c>
      <x:c r="B17" s="6" t="str">
        <x:v>ImageNet-21K</x:v>
      </x:c>
      <x:c r="C17" s="6" t="str">
        <x:v>Inference latency</x:v>
      </x:c>
      <x:c r="D17" s="6" t="str">
        <x:v>B = 1000</x:v>
      </x:c>
      <x:c r="E17" s="20" t="n">
        <x:v>1000</x:v>
      </x:c>
      <x:c r="F17" s="18" t="n">
        <x:v>7.03</x:v>
      </x:c>
      <x:c r="G17" s="18" t="n">
        <x:v>0.18</x:v>
      </x:c>
      <x:c r="H17" s="6" t="str">
        <x:v>s/image</x:v>
      </x:c>
      <x:c r="I17" s="20" t="n">
        <x:v>5</x:v>
      </x:c>
      <x:c r="J17" s="6" t="str">
        <x:v>imagenet21k_gs消融.xlsx</x:v>
      </x:c>
      <x:c r="K17" s="6" t="str">
        <x:v>Paper Table</x:v>
      </x:c>
    </x:row>
    <x:row r="18">
      <x:c r="A18" s="6" t="str">
        <x:v>Qwen3-VL-2B-Instruct</x:v>
      </x:c>
      <x:c r="B18" s="6" t="str">
        <x:v>ImageNet-21K</x:v>
      </x:c>
      <x:c r="C18" s="6" t="str">
        <x:v>Classification accuracy</x:v>
      </x:c>
      <x:c r="D18" s="6" t="str">
        <x:v>B = 5000</x:v>
      </x:c>
      <x:c r="E18" s="20" t="n">
        <x:v>5000</x:v>
      </x:c>
      <x:c r="F18" s="18" t="n">
        <x:v>13.78</x:v>
      </x:c>
      <x:c r="G18" s="18" t="n">
        <x:v>0.92</x:v>
      </x:c>
      <x:c r="H18" s="6" t="str">
        <x:v>%</x:v>
      </x:c>
      <x:c r="I18" s="20" t="n">
        <x:v>5</x:v>
      </x:c>
      <x:c r="J18" s="6" t="str">
        <x:v>imagenet21k_gs消融.xlsx</x:v>
      </x:c>
      <x:c r="K18" s="6" t="str">
        <x:v>Paper Table</x:v>
      </x:c>
    </x:row>
    <x:row r="19">
      <x:c r="A19" s="6" t="str">
        <x:v>Qwen3-VL-2B-Instruct</x:v>
      </x:c>
      <x:c r="B19" s="6" t="str">
        <x:v>ImageNet-21K</x:v>
      </x:c>
      <x:c r="C19" s="6" t="str">
        <x:v>Inference latency</x:v>
      </x:c>
      <x:c r="D19" s="6" t="str">
        <x:v>B = 5000</x:v>
      </x:c>
      <x:c r="E19" s="20" t="n">
        <x:v>5000</x:v>
      </x:c>
      <x:c r="F19" s="18" t="n">
        <x:v>6.74</x:v>
      </x:c>
      <x:c r="G19" s="18" t="n">
        <x:v>0.14</x:v>
      </x:c>
      <x:c r="H19" s="6" t="str">
        <x:v>s/image</x:v>
      </x:c>
      <x:c r="I19" s="20" t="n">
        <x:v>5</x:v>
      </x:c>
      <x:c r="J19" s="6" t="str">
        <x:v>imagenet21k_gs消融.xlsx</x:v>
      </x:c>
      <x:c r="K19" s="6" t="str">
        <x:v>Paper Table</x:v>
      </x:c>
    </x:row>
    <x:row r="20">
      <x:c r="A20" s="6" t="str">
        <x:v>Gemma-4-E4B</x:v>
      </x:c>
      <x:c r="B20" s="6" t="str">
        <x:v>ImageNet-21K</x:v>
      </x:c>
      <x:c r="C20" s="6" t="str">
        <x:v>Classification accuracy</x:v>
      </x:c>
      <x:c r="D20" s="6" t="str">
        <x:v>B = 5000</x:v>
      </x:c>
      <x:c r="E20" s="20" t="n">
        <x:v>5000</x:v>
      </x:c>
      <x:c r="F20" s="18" t="n">
        <x:v>7.82</x:v>
      </x:c>
      <x:c r="G20" s="18" t="n">
        <x:v>0.55</x:v>
      </x:c>
      <x:c r="H20" s="6" t="str">
        <x:v>%</x:v>
      </x:c>
      <x:c r="I20" s="20" t="n">
        <x:v>5</x:v>
      </x:c>
      <x:c r="J20" s="6" t="str">
        <x:v>imagenet21k_gs消融.xlsx</x:v>
      </x:c>
      <x:c r="K20" s="6" t="str">
        <x:v>Paper Table</x:v>
      </x:c>
    </x:row>
    <x:row r="21">
      <x:c r="A21" s="6" t="str">
        <x:v>Gemma-4-E4B</x:v>
      </x:c>
      <x:c r="B21" s="6" t="str">
        <x:v>ImageNet-21K</x:v>
      </x:c>
      <x:c r="C21" s="6" t="str">
        <x:v>Inference latency</x:v>
      </x:c>
      <x:c r="D21" s="6" t="str">
        <x:v>B = 5000</x:v>
      </x:c>
      <x:c r="E21" s="20" t="n">
        <x:v>5000</x:v>
      </x:c>
      <x:c r="F21" s="18" t="n">
        <x:v>8.67</x:v>
      </x:c>
      <x:c r="G21" s="18" t="n">
        <x:v>0.12</x:v>
      </x:c>
      <x:c r="H21" s="6" t="str">
        <x:v>s/image</x:v>
      </x:c>
      <x:c r="I21" s="20" t="n">
        <x:v>5</x:v>
      </x:c>
      <x:c r="J21" s="6" t="str">
        <x:v>imagenet21k_gs消融.xlsx</x:v>
      </x:c>
      <x:c r="K21" s="6" t="str">
        <x:v>Paper Table</x:v>
      </x:c>
    </x:row>
    <x:row r="22">
      <x:c r="A22" s="6" t="str">
        <x:v>Qwen3-VL-2B-Instruct</x:v>
      </x:c>
      <x:c r="B22" s="6" t="str">
        <x:v>ImageNet-21K</x:v>
      </x:c>
      <x:c r="C22" s="6" t="str">
        <x:v>Classification accuracy</x:v>
      </x:c>
      <x:c r="D22" s="6" t="str">
        <x:v>Baseline</x:v>
      </x:c>
      <x:c r="E22" s="20"/>
      <x:c r="F22" s="18" t="n">
        <x:v>2.12</x:v>
      </x:c>
      <x:c r="G22" s="18" t="n">
        <x:v>0.55</x:v>
      </x:c>
      <x:c r="H22" s="6" t="str">
        <x:v>%</x:v>
      </x:c>
      <x:c r="I22" s="20" t="n">
        <x:v>5</x:v>
      </x:c>
      <x:c r="J22" s="6" t="str">
        <x:v>imagenet21k_gs消融.xlsx</x:v>
      </x:c>
      <x:c r="K22" s="6" t="str">
        <x:v>Paper Table</x:v>
      </x:c>
    </x:row>
    <x:row r="23">
      <x:c r="A23" s="6" t="str">
        <x:v>Qwen3-VL-2B-Instruct</x:v>
      </x:c>
      <x:c r="B23" s="6" t="str">
        <x:v>ImageNet-21K</x:v>
      </x:c>
      <x:c r="C23" s="6" t="str">
        <x:v>Inference latency</x:v>
      </x:c>
      <x:c r="D23" s="6" t="str">
        <x:v>Baseline</x:v>
      </x:c>
      <x:c r="E23" s="20"/>
      <x:c r="F23" s="18" t="n">
        <x:v>7.96</x:v>
      </x:c>
      <x:c r="G23" s="18" t="n">
        <x:v>0.12</x:v>
      </x:c>
      <x:c r="H23" s="6" t="str">
        <x:v>s/image</x:v>
      </x:c>
      <x:c r="I23" s="20" t="n">
        <x:v>5</x:v>
      </x:c>
      <x:c r="J23" s="6" t="str">
        <x:v>imagenet21k_gs消融.xlsx</x:v>
      </x:c>
      <x:c r="K23" s="6" t="str">
        <x:v>Paper Table</x:v>
      </x:c>
    </x:row>
    <x:row r="24">
      <x:c r="A24" s="6" t="str">
        <x:v>Gemma-4-E4B</x:v>
      </x:c>
      <x:c r="B24" s="6" t="str">
        <x:v>ImageNet-21K</x:v>
      </x:c>
      <x:c r="C24" s="6" t="str">
        <x:v>Classification accuracy</x:v>
      </x:c>
      <x:c r="D24" s="6" t="str">
        <x:v>Baseline</x:v>
      </x:c>
      <x:c r="E24" s="20"/>
      <x:c r="F24" s="18" t="n">
        <x:v>2.14</x:v>
      </x:c>
      <x:c r="G24" s="18" t="n">
        <x:v>0.32</x:v>
      </x:c>
      <x:c r="H24" s="6" t="str">
        <x:v>%</x:v>
      </x:c>
      <x:c r="I24" s="20" t="n">
        <x:v>5</x:v>
      </x:c>
      <x:c r="J24" s="6" t="str">
        <x:v>imagenet21k_gs消融.xlsx</x:v>
      </x:c>
      <x:c r="K24" s="6" t="str">
        <x:v>Paper Table</x:v>
      </x:c>
    </x:row>
    <x:row r="25">
      <x:c r="A25" s="6" t="str">
        <x:v>Gemma-4-E4B</x:v>
      </x:c>
      <x:c r="B25" s="6" t="str">
        <x:v>ImageNet-21K</x:v>
      </x:c>
      <x:c r="C25" s="6" t="str">
        <x:v>Inference latency</x:v>
      </x:c>
      <x:c r="D25" s="6" t="str">
        <x:v>Baseline</x:v>
      </x:c>
      <x:c r="E25" s="20"/>
      <x:c r="F25" s="18" t="n">
        <x:v>16.39</x:v>
      </x:c>
      <x:c r="G25" s="18" t="n">
        <x:v>0.09</x:v>
      </x:c>
      <x:c r="H25" s="6" t="str">
        <x:v>s/image</x:v>
      </x:c>
      <x:c r="I25" s="20" t="n">
        <x:v>5</x:v>
      </x:c>
      <x:c r="J25" s="6" t="str">
        <x:v>imagenet21k_gs消融.xlsx</x:v>
      </x:c>
      <x:c r="K25" s="6" t="str">
        <x:v>Paper Table</x:v>
      </x:c>
    </x:row>
  </x:sheetData>
  <x:pageMargins left="0.7" right="0.7" top="0.75" bottom="0.75" header="0.3" footer="0.3"/>
  <x:tableParts count="1">
    <x:tablePart xmlns:r="http://schemas.openxmlformats.org/officeDocument/2006/relationships" r:id="R727b839f3051412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14" hidden="0" customWidth="1"/>
    <x:col min="4" max="4" width="12" hidden="0" customWidth="1"/>
    <x:col min="5" max="5" width="14" hidden="0" customWidth="1"/>
    <x:col min="6" max="6" width="12" hidden="0" customWidth="1"/>
    <x:col min="7" max="7" width="14" hidden="0" customWidth="1"/>
    <x:col min="8" max="8" width="12" hidden="0" customWidth="1"/>
    <x:col min="9" max="9" width="14" hidden="0" customWidth="1"/>
    <x:col min="10" max="10" width="12" hidden="0" customWidth="1"/>
    <x:col min="11" max="11" width="14" hidden="0" customWidth="1"/>
    <x:col min="12" max="12" width="12" hidden="0" customWidth="1"/>
    <x:col min="13" max="13" width="14" hidden="0" customWidth="1"/>
  </x:cols>
  <x:sheetData>
    <x:row r="1" ht="32" customHeight="1">
      <x:c r="A1" s="14" t="str">
        <x:v>Model</x:v>
      </x:c>
      <x:c r="B1" s="17" t="str">
        <x:v>N=10 Mean</x:v>
      </x:c>
      <x:c r="C1" s="17" t="str">
        <x:v>N=10 SD</x:v>
      </x:c>
      <x:c r="D1" s="17" t="str">
        <x:v>N=20 Mean</x:v>
      </x:c>
      <x:c r="E1" s="17" t="str">
        <x:v>N=20 SD</x:v>
      </x:c>
      <x:c r="F1" s="17" t="str">
        <x:v>N=100 Mean</x:v>
      </x:c>
      <x:c r="G1" s="17" t="str">
        <x:v>N=100 SD</x:v>
      </x:c>
      <x:c r="H1" s="17" t="str">
        <x:v>N=200 Mean</x:v>
      </x:c>
      <x:c r="I1" s="17" t="str">
        <x:v>N=200 SD</x:v>
      </x:c>
      <x:c r="J1" s="17" t="str">
        <x:v>N=500 Mean</x:v>
      </x:c>
      <x:c r="K1" s="17" t="str">
        <x:v>N=500 SD</x:v>
      </x:c>
      <x:c r="L1" s="17" t="str">
        <x:v>N=1000 Mean</x:v>
      </x:c>
      <x:c r="M1" s="22" t="str">
        <x:v>N=1000 SD</x:v>
      </x:c>
    </x:row>
    <x:row r="2">
      <x:c r="A2" s="6" t="str">
        <x:v>Llama-3.2-11B-Vision-Instruct</x:v>
      </x:c>
      <x:c r="B2" s="18" t="n">
        <x:v>93.76</x:v>
      </x:c>
      <x:c r="C2" s="18" t="n">
        <x:v>1.13</x:v>
      </x:c>
      <x:c r="D2" s="18" t="n">
        <x:v>88.6</x:v>
      </x:c>
      <x:c r="E2" s="18" t="n">
        <x:v>1.65</x:v>
      </x:c>
      <x:c r="F2" s="18" t="n">
        <x:v>55.54</x:v>
      </x:c>
      <x:c r="G2" s="18" t="n">
        <x:v>0.98</x:v>
      </x:c>
      <x:c r="H2" s="18" t="n">
        <x:v>15.7</x:v>
      </x:c>
      <x:c r="I2" s="18" t="n">
        <x:v>0.46</x:v>
      </x:c>
      <x:c r="J2" s="18" t="n">
        <x:v>10.44</x:v>
      </x:c>
      <x:c r="K2" s="18" t="n">
        <x:v>0.24</x:v>
      </x:c>
      <x:c r="L2" s="18" t="n">
        <x:v>1.68</x:v>
      </x:c>
      <x:c r="M2" s="18" t="n">
        <x:v>0.04</x:v>
      </x:c>
    </x:row>
    <x:row r="3">
      <x:c r="A3" s="6" t="str">
        <x:v>Gemma-3-4B-IT</x:v>
      </x:c>
      <x:c r="B3" s="18" t="n">
        <x:v>93.88</x:v>
      </x:c>
      <x:c r="C3" s="18" t="n">
        <x:v>1.66</x:v>
      </x:c>
      <x:c r="D3" s="18" t="n">
        <x:v>90.08</x:v>
      </x:c>
      <x:c r="E3" s="18" t="n">
        <x:v>2.14</x:v>
      </x:c>
      <x:c r="F3" s="18" t="n">
        <x:v>55.22</x:v>
      </x:c>
      <x:c r="G3" s="18" t="n">
        <x:v>0.55</x:v>
      </x:c>
      <x:c r="H3" s="18" t="n">
        <x:v>41.53</x:v>
      </x:c>
      <x:c r="I3" s="18" t="n">
        <x:v>1.75</x:v>
      </x:c>
      <x:c r="J3" s="18" t="n">
        <x:v>26.72</x:v>
      </x:c>
      <x:c r="K3" s="18" t="n">
        <x:v>0.64</x:v>
      </x:c>
      <x:c r="L3" s="18" t="n">
        <x:v>25.47</x:v>
      </x:c>
      <x:c r="M3" s="18" t="n">
        <x:v>0.95</x:v>
      </x:c>
    </x:row>
    <x:row r="4">
      <x:c r="A4" s="6" t="str">
        <x:v>Gemma-4-E4B</x:v>
      </x:c>
      <x:c r="B4" s="18" t="n">
        <x:v>88.76</x:v>
      </x:c>
      <x:c r="C4" s="18" t="n">
        <x:v>1.95</x:v>
      </x:c>
      <x:c r="D4" s="18" t="n">
        <x:v>82.16</x:v>
      </x:c>
      <x:c r="E4" s="18" t="n">
        <x:v>1.51</x:v>
      </x:c>
      <x:c r="F4" s="18" t="n">
        <x:v>68.64</x:v>
      </x:c>
      <x:c r="G4" s="18" t="n">
        <x:v>1.12</x:v>
      </x:c>
      <x:c r="H4" s="18" t="n">
        <x:v>58.62</x:v>
      </x:c>
      <x:c r="I4" s="18" t="n">
        <x:v>0.8</x:v>
      </x:c>
      <x:c r="J4" s="18" t="n">
        <x:v>41.88</x:v>
      </x:c>
      <x:c r="K4" s="18" t="n">
        <x:v>0.23</x:v>
      </x:c>
      <x:c r="L4" s="18" t="n">
        <x:v>31.46</x:v>
      </x:c>
      <x:c r="M4" s="18" t="n">
        <x:v>0.29</x:v>
      </x:c>
    </x:row>
    <x:row r="5">
      <x:c r="A5" s="6" t="str">
        <x:v>DeepSeek-VL-7B-chat</x:v>
      </x:c>
      <x:c r="B5" s="18" t="n">
        <x:v>68.72</x:v>
      </x:c>
      <x:c r="C5" s="18" t="n">
        <x:v>1.89</x:v>
      </x:c>
      <x:c r="D5" s="18" t="n">
        <x:v>49</x:v>
      </x:c>
      <x:c r="E5" s="18" t="n">
        <x:v>1.3</x:v>
      </x:c>
      <x:c r="F5" s="18" t="n">
        <x:v>17.84</x:v>
      </x:c>
      <x:c r="G5" s="18" t="n">
        <x:v>0.87</x:v>
      </x:c>
      <x:c r="H5" s="18" t="n">
        <x:v>7.21</x:v>
      </x:c>
      <x:c r="I5" s="18" t="n">
        <x:v>0.72</x:v>
      </x:c>
      <x:c r="J5" s="18" t="n">
        <x:v>2.2</x:v>
      </x:c>
      <x:c r="K5" s="18" t="n">
        <x:v>0.48</x:v>
      </x:c>
      <x:c r="L5" s="18" t="n">
        <x:v>0.5</x:v>
      </x:c>
      <x:c r="M5" s="18" t="n">
        <x:v>0.33</x:v>
      </x:c>
    </x:row>
    <x:row r="6">
      <x:c r="A6" s="6" t="str">
        <x:v>Kimi-VL-A3B-Instruct</x:v>
      </x:c>
      <x:c r="B6" s="18" t="n">
        <x:v>94.28</x:v>
      </x:c>
      <x:c r="C6" s="18" t="n">
        <x:v>1.83</x:v>
      </x:c>
      <x:c r="D6" s="18" t="n">
        <x:v>87.7</x:v>
      </x:c>
      <x:c r="E6" s="18" t="n">
        <x:v>1.62</x:v>
      </x:c>
      <x:c r="F6" s="18" t="n">
        <x:v>63.72</x:v>
      </x:c>
      <x:c r="G6" s="18" t="n">
        <x:v>1.33</x:v>
      </x:c>
      <x:c r="H6" s="18" t="n">
        <x:v>52.53</x:v>
      </x:c>
      <x:c r="I6" s="18" t="n">
        <x:v>0.99</x:v>
      </x:c>
      <x:c r="J6" s="18" t="n">
        <x:v>40.72</x:v>
      </x:c>
      <x:c r="K6" s="18" t="n">
        <x:v>0.47</x:v>
      </x:c>
      <x:c r="L6" s="18" t="n">
        <x:v>35.69</x:v>
      </x:c>
      <x:c r="M6" s="18" t="n">
        <x:v>0.26</x:v>
      </x:c>
    </x:row>
    <x:row r="7">
      <x:c r="A7" s="6" t="str">
        <x:v>Qwen2.5-VL-7B-Instruct</x:v>
      </x:c>
      <x:c r="B7" s="18" t="n">
        <x:v>97.16</x:v>
      </x:c>
      <x:c r="C7" s="18" t="n">
        <x:v>2.06</x:v>
      </x:c>
      <x:c r="D7" s="18" t="n">
        <x:v>95.24</x:v>
      </x:c>
      <x:c r="E7" s="18" t="n">
        <x:v>2.35</x:v>
      </x:c>
      <x:c r="F7" s="18" t="n">
        <x:v>84.88</x:v>
      </x:c>
      <x:c r="G7" s="18" t="n">
        <x:v>1.57</x:v>
      </x:c>
      <x:c r="H7" s="18" t="n">
        <x:v>82.94</x:v>
      </x:c>
      <x:c r="I7" s="18" t="n">
        <x:v>1.02</x:v>
      </x:c>
      <x:c r="J7" s="18" t="n">
        <x:v>70.4</x:v>
      </x:c>
      <x:c r="K7" s="18" t="n">
        <x:v>0.64</x:v>
      </x:c>
      <x:c r="L7" s="18" t="n">
        <x:v>61.8</x:v>
      </x:c>
      <x:c r="M7" s="18" t="n">
        <x:v>0.73</x:v>
      </x:c>
    </x:row>
    <x:row r="8">
      <x:c r="A8" s="6" t="str">
        <x:v>Qwen2.5-VL-32B-Instruct</x:v>
      </x:c>
      <x:c r="B8" s="18" t="n">
        <x:v>98.04</x:v>
      </x:c>
      <x:c r="C8" s="18" t="n">
        <x:v>1.94</x:v>
      </x:c>
      <x:c r="D8" s="18" t="n">
        <x:v>97.24</x:v>
      </x:c>
      <x:c r="E8" s="18" t="n">
        <x:v>1.55</x:v>
      </x:c>
      <x:c r="F8" s="18" t="n">
        <x:v>87</x:v>
      </x:c>
      <x:c r="G8" s="18" t="n">
        <x:v>1.65</x:v>
      </x:c>
      <x:c r="H8" s="18" t="n">
        <x:v>84.19</x:v>
      </x:c>
      <x:c r="I8" s="18" t="n">
        <x:v>1.35</x:v>
      </x:c>
      <x:c r="J8" s="18" t="n">
        <x:v>73.98</x:v>
      </x:c>
      <x:c r="K8" s="18" t="n">
        <x:v>1.76</x:v>
      </x:c>
      <x:c r="L8" s="18" t="n">
        <x:v>65.5</x:v>
      </x:c>
      <x:c r="M8" s="18" t="n">
        <x:v>0.69</x:v>
      </x:c>
    </x:row>
    <x:row r="9">
      <x:c r="A9" s="6" t="str">
        <x:v>Qwen2.5-VL-MAX</x:v>
      </x:c>
      <x:c r="B9" s="18" t="n">
        <x:v>98.52</x:v>
      </x:c>
      <x:c r="C9" s="18" t="n">
        <x:v>1.63</x:v>
      </x:c>
      <x:c r="D9" s="18" t="n">
        <x:v>97.24</x:v>
      </x:c>
      <x:c r="E9" s="18" t="n">
        <x:v>1.39</x:v>
      </x:c>
      <x:c r="F9" s="18" t="n">
        <x:v>90.52</x:v>
      </x:c>
      <x:c r="G9" s="18" t="n">
        <x:v>1.32</x:v>
      </x:c>
      <x:c r="H9" s="18" t="n">
        <x:v>86.45</x:v>
      </x:c>
      <x:c r="I9" s="18" t="n">
        <x:v>1.65</x:v>
      </x:c>
      <x:c r="J9" s="18" t="n">
        <x:v>79.5</x:v>
      </x:c>
      <x:c r="K9" s="18" t="n">
        <x:v>1.53</x:v>
      </x:c>
      <x:c r="L9" s="18" t="n">
        <x:v>71.62</x:v>
      </x:c>
      <x:c r="M9" s="18" t="n">
        <x:v>0.98</x:v>
      </x:c>
    </x:row>
    <x:row r="10">
      <x:c r="A10" s="6" t="str">
        <x:v>Qwen3-VL-2B-Instruct</x:v>
      </x:c>
      <x:c r="B10" s="18" t="n">
        <x:v>95.8</x:v>
      </x:c>
      <x:c r="C10" s="18" t="n">
        <x:v>1.87</x:v>
      </x:c>
      <x:c r="D10" s="18" t="n">
        <x:v>89.86</x:v>
      </x:c>
      <x:c r="E10" s="18" t="n">
        <x:v>1.84</x:v>
      </x:c>
      <x:c r="F10" s="18" t="n">
        <x:v>75.31</x:v>
      </x:c>
      <x:c r="G10" s="18" t="n">
        <x:v>1.6</x:v>
      </x:c>
      <x:c r="H10" s="18" t="n">
        <x:v>66.28</x:v>
      </x:c>
      <x:c r="I10" s="18" t="n">
        <x:v>1.11</x:v>
      </x:c>
      <x:c r="J10" s="18" t="n">
        <x:v>53.12</x:v>
      </x:c>
      <x:c r="K10" s="18" t="n">
        <x:v>0.77</x:v>
      </x:c>
      <x:c r="L10" s="18" t="n">
        <x:v>40.54</x:v>
      </x:c>
      <x:c r="M10" s="18" t="n">
        <x:v>0.36</x:v>
      </x:c>
    </x:row>
    <x:row r="11">
      <x:c r="A11" s="6" t="str">
        <x:v>Qwen3-VL-8B-Instruct</x:v>
      </x:c>
      <x:c r="B11" s="18" t="n">
        <x:v>97.04</x:v>
      </x:c>
      <x:c r="C11" s="18" t="n">
        <x:v>2.09</x:v>
      </x:c>
      <x:c r="D11" s="18" t="n">
        <x:v>96.8</x:v>
      </x:c>
      <x:c r="E11" s="18" t="n">
        <x:v>1.83</x:v>
      </x:c>
      <x:c r="F11" s="18" t="n">
        <x:v>91.02</x:v>
      </x:c>
      <x:c r="G11" s="18" t="n">
        <x:v>0.86</x:v>
      </x:c>
      <x:c r="H11" s="18" t="n">
        <x:v>84.24</x:v>
      </x:c>
      <x:c r="I11" s="18" t="n">
        <x:v>0.74</x:v>
      </x:c>
      <x:c r="J11" s="18" t="n">
        <x:v>76.56</x:v>
      </x:c>
      <x:c r="K11" s="18" t="n">
        <x:v>0.49</x:v>
      </x:c>
      <x:c r="L11" s="18" t="n">
        <x:v>67.56</x:v>
      </x:c>
      <x:c r="M11" s="18" t="n">
        <x:v>0.38</x:v>
      </x:c>
    </x:row>
  </x:sheetData>
  <x:pageMargins left="0.7" right="0.7" top="0.75" bottom="0.75" header="0.3" footer="0.3"/>
  <x:tableParts count="1">
    <x:tablePart xmlns:r="http://schemas.openxmlformats.org/officeDocument/2006/relationships" r:id="R4af0d89f058d47c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14" hidden="0" customWidth="1"/>
    <x:col min="4" max="4" width="14" hidden="0" customWidth="1"/>
    <x:col min="5" max="5" width="24" hidden="0" customWidth="1"/>
    <x:col min="6" max="6" width="25" hidden="0" customWidth="1"/>
    <x:col min="7" max="7" width="25" hidden="0" customWidth="1"/>
  </x:cols>
  <x:sheetData>
    <x:row r="1" ht="32" customHeight="1">
      <x:c r="A1" s="14" t="str">
        <x:v>Model</x:v>
      </x:c>
      <x:c r="B1" s="19" t="str">
        <x:v>Candidate Classes N</x:v>
      </x:c>
      <x:c r="C1" s="17" t="str">
        <x:v>Mean Classification Accuracy (%)</x:v>
      </x:c>
      <x:c r="D1" s="17" t="str">
        <x:v>SD (pp)</x:v>
      </x:c>
      <x:c r="E1" s="15" t="str">
        <x:v>Unit</x:v>
      </x:c>
      <x:c r="F1" s="15" t="str">
        <x:v>Source Workbook</x:v>
      </x:c>
      <x:c r="G1" s="16" t="str">
        <x:v>Authority Sheet</x:v>
      </x:c>
    </x:row>
    <x:row r="2">
      <x:c r="A2" s="6" t="str">
        <x:v>Llama-3.2-11B-Vision-Instruct</x:v>
      </x:c>
      <x:c r="B2" s="20" t="n">
        <x:v>10</x:v>
      </x:c>
      <x:c r="C2" s="21" t="n">
        <x:f>'Scaling Wide'!B2</x:f>
        <x:v>93.76</x:v>
      </x:c>
      <x:c r="D2" s="21" t="n">
        <x:f>'Scaling Wide'!C2</x:f>
        <x:v>1.13</x:v>
      </x:c>
      <x:c r="E2" s="6" t="str">
        <x:v>%</x:v>
      </x:c>
      <x:c r="F2" s="6" t="str">
        <x:v>scaling_performance_data.xlsx</x:v>
      </x:c>
      <x:c r="G2" s="6" t="str">
        <x:v>Wide format</x:v>
      </x:c>
    </x:row>
    <x:row r="3">
      <x:c r="A3" s="6" t="str">
        <x:v>Llama-3.2-11B-Vision-Instruct</x:v>
      </x:c>
      <x:c r="B3" s="20" t="n">
        <x:v>20</x:v>
      </x:c>
      <x:c r="C3" s="21" t="n">
        <x:f>'Scaling Wide'!D2</x:f>
        <x:v>88.6</x:v>
      </x:c>
      <x:c r="D3" s="21" t="n">
        <x:f>'Scaling Wide'!E2</x:f>
        <x:v>1.65</x:v>
      </x:c>
      <x:c r="E3" s="6" t="str">
        <x:v>%</x:v>
      </x:c>
      <x:c r="F3" s="6" t="str">
        <x:v>scaling_performance_data.xlsx</x:v>
      </x:c>
      <x:c r="G3" s="6" t="str">
        <x:v>Wide format</x:v>
      </x:c>
    </x:row>
    <x:row r="4">
      <x:c r="A4" s="6" t="str">
        <x:v>Llama-3.2-11B-Vision-Instruct</x:v>
      </x:c>
      <x:c r="B4" s="20" t="n">
        <x:v>100</x:v>
      </x:c>
      <x:c r="C4" s="21" t="n">
        <x:f>'Scaling Wide'!F2</x:f>
        <x:v>55.54</x:v>
      </x:c>
      <x:c r="D4" s="21" t="n">
        <x:f>'Scaling Wide'!G2</x:f>
        <x:v>0.98</x:v>
      </x:c>
      <x:c r="E4" s="6" t="str">
        <x:v>%</x:v>
      </x:c>
      <x:c r="F4" s="6" t="str">
        <x:v>scaling_performance_data.xlsx</x:v>
      </x:c>
      <x:c r="G4" s="6" t="str">
        <x:v>Wide format</x:v>
      </x:c>
    </x:row>
    <x:row r="5">
      <x:c r="A5" s="6" t="str">
        <x:v>Llama-3.2-11B-Vision-Instruct</x:v>
      </x:c>
      <x:c r="B5" s="20" t="n">
        <x:v>200</x:v>
      </x:c>
      <x:c r="C5" s="21" t="n">
        <x:f>'Scaling Wide'!H2</x:f>
        <x:v>15.7</x:v>
      </x:c>
      <x:c r="D5" s="21" t="n">
        <x:f>'Scaling Wide'!I2</x:f>
        <x:v>0.46</x:v>
      </x:c>
      <x:c r="E5" s="6" t="str">
        <x:v>%</x:v>
      </x:c>
      <x:c r="F5" s="6" t="str">
        <x:v>scaling_performance_data.xlsx</x:v>
      </x:c>
      <x:c r="G5" s="6" t="str">
        <x:v>Wide format</x:v>
      </x:c>
    </x:row>
    <x:row r="6">
      <x:c r="A6" s="6" t="str">
        <x:v>Llama-3.2-11B-Vision-Instruct</x:v>
      </x:c>
      <x:c r="B6" s="20" t="n">
        <x:v>500</x:v>
      </x:c>
      <x:c r="C6" s="21" t="n">
        <x:f>'Scaling Wide'!J2</x:f>
        <x:v>10.44</x:v>
      </x:c>
      <x:c r="D6" s="21" t="n">
        <x:f>'Scaling Wide'!K2</x:f>
        <x:v>0.24</x:v>
      </x:c>
      <x:c r="E6" s="6" t="str">
        <x:v>%</x:v>
      </x:c>
      <x:c r="F6" s="6" t="str">
        <x:v>scaling_performance_data.xlsx</x:v>
      </x:c>
      <x:c r="G6" s="6" t="str">
        <x:v>Wide format</x:v>
      </x:c>
    </x:row>
    <x:row r="7">
      <x:c r="A7" s="6" t="str">
        <x:v>Llama-3.2-11B-Vision-Instruct</x:v>
      </x:c>
      <x:c r="B7" s="20" t="n">
        <x:v>1000</x:v>
      </x:c>
      <x:c r="C7" s="21" t="n">
        <x:f>'Scaling Wide'!L2</x:f>
        <x:v>1.68</x:v>
      </x:c>
      <x:c r="D7" s="21" t="n">
        <x:f>'Scaling Wide'!M2</x:f>
        <x:v>0.04</x:v>
      </x:c>
      <x:c r="E7" s="6" t="str">
        <x:v>%</x:v>
      </x:c>
      <x:c r="F7" s="6" t="str">
        <x:v>scaling_performance_data.xlsx</x:v>
      </x:c>
      <x:c r="G7" s="6" t="str">
        <x:v>Wide format</x:v>
      </x:c>
    </x:row>
    <x:row r="8">
      <x:c r="A8" s="6" t="str">
        <x:v>Gemma-3-4B-IT</x:v>
      </x:c>
      <x:c r="B8" s="20" t="n">
        <x:v>10</x:v>
      </x:c>
      <x:c r="C8" s="21" t="n">
        <x:f>'Scaling Wide'!B3</x:f>
        <x:v>93.88</x:v>
      </x:c>
      <x:c r="D8" s="21" t="n">
        <x:f>'Scaling Wide'!C3</x:f>
        <x:v>1.66</x:v>
      </x:c>
      <x:c r="E8" s="6" t="str">
        <x:v>%</x:v>
      </x:c>
      <x:c r="F8" s="6" t="str">
        <x:v>scaling_performance_data.xlsx</x:v>
      </x:c>
      <x:c r="G8" s="6" t="str">
        <x:v>Wide format</x:v>
      </x:c>
    </x:row>
    <x:row r="9">
      <x:c r="A9" s="6" t="str">
        <x:v>Gemma-3-4B-IT</x:v>
      </x:c>
      <x:c r="B9" s="20" t="n">
        <x:v>20</x:v>
      </x:c>
      <x:c r="C9" s="21" t="n">
        <x:f>'Scaling Wide'!D3</x:f>
        <x:v>90.08</x:v>
      </x:c>
      <x:c r="D9" s="21" t="n">
        <x:f>'Scaling Wide'!E3</x:f>
        <x:v>2.14</x:v>
      </x:c>
      <x:c r="E9" s="6" t="str">
        <x:v>%</x:v>
      </x:c>
      <x:c r="F9" s="6" t="str">
        <x:v>scaling_performance_data.xlsx</x:v>
      </x:c>
      <x:c r="G9" s="6" t="str">
        <x:v>Wide format</x:v>
      </x:c>
    </x:row>
    <x:row r="10">
      <x:c r="A10" s="6" t="str">
        <x:v>Gemma-3-4B-IT</x:v>
      </x:c>
      <x:c r="B10" s="20" t="n">
        <x:v>100</x:v>
      </x:c>
      <x:c r="C10" s="21" t="n">
        <x:f>'Scaling Wide'!F3</x:f>
        <x:v>55.22</x:v>
      </x:c>
      <x:c r="D10" s="21" t="n">
        <x:f>'Scaling Wide'!G3</x:f>
        <x:v>0.55</x:v>
      </x:c>
      <x:c r="E10" s="6" t="str">
        <x:v>%</x:v>
      </x:c>
      <x:c r="F10" s="6" t="str">
        <x:v>scaling_performance_data.xlsx</x:v>
      </x:c>
      <x:c r="G10" s="6" t="str">
        <x:v>Wide format</x:v>
      </x:c>
    </x:row>
    <x:row r="11">
      <x:c r="A11" s="6" t="str">
        <x:v>Gemma-3-4B-IT</x:v>
      </x:c>
      <x:c r="B11" s="20" t="n">
        <x:v>200</x:v>
      </x:c>
      <x:c r="C11" s="21" t="n">
        <x:f>'Scaling Wide'!H3</x:f>
        <x:v>41.53</x:v>
      </x:c>
      <x:c r="D11" s="21" t="n">
        <x:f>'Scaling Wide'!I3</x:f>
        <x:v>1.75</x:v>
      </x:c>
      <x:c r="E11" s="6" t="str">
        <x:v>%</x:v>
      </x:c>
      <x:c r="F11" s="6" t="str">
        <x:v>scaling_performance_data.xlsx</x:v>
      </x:c>
      <x:c r="G11" s="6" t="str">
        <x:v>Wide format</x:v>
      </x:c>
    </x:row>
    <x:row r="12">
      <x:c r="A12" s="6" t="str">
        <x:v>Gemma-3-4B-IT</x:v>
      </x:c>
      <x:c r="B12" s="20" t="n">
        <x:v>500</x:v>
      </x:c>
      <x:c r="C12" s="21" t="n">
        <x:f>'Scaling Wide'!J3</x:f>
        <x:v>26.72</x:v>
      </x:c>
      <x:c r="D12" s="21" t="n">
        <x:f>'Scaling Wide'!K3</x:f>
        <x:v>0.64</x:v>
      </x:c>
      <x:c r="E12" s="6" t="str">
        <x:v>%</x:v>
      </x:c>
      <x:c r="F12" s="6" t="str">
        <x:v>scaling_performance_data.xlsx</x:v>
      </x:c>
      <x:c r="G12" s="6" t="str">
        <x:v>Wide format</x:v>
      </x:c>
    </x:row>
    <x:row r="13">
      <x:c r="A13" s="6" t="str">
        <x:v>Gemma-3-4B-IT</x:v>
      </x:c>
      <x:c r="B13" s="20" t="n">
        <x:v>1000</x:v>
      </x:c>
      <x:c r="C13" s="21" t="n">
        <x:f>'Scaling Wide'!L3</x:f>
        <x:v>25.47</x:v>
      </x:c>
      <x:c r="D13" s="21" t="n">
        <x:f>'Scaling Wide'!M3</x:f>
        <x:v>0.95</x:v>
      </x:c>
      <x:c r="E13" s="6" t="str">
        <x:v>%</x:v>
      </x:c>
      <x:c r="F13" s="6" t="str">
        <x:v>scaling_performance_data.xlsx</x:v>
      </x:c>
      <x:c r="G13" s="6" t="str">
        <x:v>Wide format</x:v>
      </x:c>
    </x:row>
    <x:row r="14">
      <x:c r="A14" s="6" t="str">
        <x:v>Gemma-4-E4B</x:v>
      </x:c>
      <x:c r="B14" s="20" t="n">
        <x:v>10</x:v>
      </x:c>
      <x:c r="C14" s="21" t="n">
        <x:f>'Scaling Wide'!B4</x:f>
        <x:v>88.76</x:v>
      </x:c>
      <x:c r="D14" s="21" t="n">
        <x:f>'Scaling Wide'!C4</x:f>
        <x:v>1.95</x:v>
      </x:c>
      <x:c r="E14" s="6" t="str">
        <x:v>%</x:v>
      </x:c>
      <x:c r="F14" s="6" t="str">
        <x:v>scaling_performance_data.xlsx</x:v>
      </x:c>
      <x:c r="G14" s="6" t="str">
        <x:v>Wide format</x:v>
      </x:c>
    </x:row>
    <x:row r="15">
      <x:c r="A15" s="6" t="str">
        <x:v>Gemma-4-E4B</x:v>
      </x:c>
      <x:c r="B15" s="20" t="n">
        <x:v>20</x:v>
      </x:c>
      <x:c r="C15" s="21" t="n">
        <x:f>'Scaling Wide'!D4</x:f>
        <x:v>82.16</x:v>
      </x:c>
      <x:c r="D15" s="21" t="n">
        <x:f>'Scaling Wide'!E4</x:f>
        <x:v>1.51</x:v>
      </x:c>
      <x:c r="E15" s="6" t="str">
        <x:v>%</x:v>
      </x:c>
      <x:c r="F15" s="6" t="str">
        <x:v>scaling_performance_data.xlsx</x:v>
      </x:c>
      <x:c r="G15" s="6" t="str">
        <x:v>Wide format</x:v>
      </x:c>
    </x:row>
    <x:row r="16">
      <x:c r="A16" s="6" t="str">
        <x:v>Gemma-4-E4B</x:v>
      </x:c>
      <x:c r="B16" s="20" t="n">
        <x:v>100</x:v>
      </x:c>
      <x:c r="C16" s="21" t="n">
        <x:f>'Scaling Wide'!F4</x:f>
        <x:v>68.64</x:v>
      </x:c>
      <x:c r="D16" s="21" t="n">
        <x:f>'Scaling Wide'!G4</x:f>
        <x:v>1.12</x:v>
      </x:c>
      <x:c r="E16" s="6" t="str">
        <x:v>%</x:v>
      </x:c>
      <x:c r="F16" s="6" t="str">
        <x:v>scaling_performance_data.xlsx</x:v>
      </x:c>
      <x:c r="G16" s="6" t="str">
        <x:v>Wide format</x:v>
      </x:c>
    </x:row>
    <x:row r="17">
      <x:c r="A17" s="6" t="str">
        <x:v>Gemma-4-E4B</x:v>
      </x:c>
      <x:c r="B17" s="20" t="n">
        <x:v>200</x:v>
      </x:c>
      <x:c r="C17" s="21" t="n">
        <x:f>'Scaling Wide'!H4</x:f>
        <x:v>58.62</x:v>
      </x:c>
      <x:c r="D17" s="21" t="n">
        <x:f>'Scaling Wide'!I4</x:f>
        <x:v>0.8</x:v>
      </x:c>
      <x:c r="E17" s="6" t="str">
        <x:v>%</x:v>
      </x:c>
      <x:c r="F17" s="6" t="str">
        <x:v>scaling_performance_data.xlsx</x:v>
      </x:c>
      <x:c r="G17" s="6" t="str">
        <x:v>Wide format</x:v>
      </x:c>
    </x:row>
    <x:row r="18">
      <x:c r="A18" s="6" t="str">
        <x:v>Gemma-4-E4B</x:v>
      </x:c>
      <x:c r="B18" s="20" t="n">
        <x:v>500</x:v>
      </x:c>
      <x:c r="C18" s="21" t="n">
        <x:f>'Scaling Wide'!J4</x:f>
        <x:v>41.88</x:v>
      </x:c>
      <x:c r="D18" s="21" t="n">
        <x:f>'Scaling Wide'!K4</x:f>
        <x:v>0.23</x:v>
      </x:c>
      <x:c r="E18" s="6" t="str">
        <x:v>%</x:v>
      </x:c>
      <x:c r="F18" s="6" t="str">
        <x:v>scaling_performance_data.xlsx</x:v>
      </x:c>
      <x:c r="G18" s="6" t="str">
        <x:v>Wide format</x:v>
      </x:c>
    </x:row>
    <x:row r="19">
      <x:c r="A19" s="6" t="str">
        <x:v>Gemma-4-E4B</x:v>
      </x:c>
      <x:c r="B19" s="20" t="n">
        <x:v>1000</x:v>
      </x:c>
      <x:c r="C19" s="21" t="n">
        <x:f>'Scaling Wide'!L4</x:f>
        <x:v>31.46</x:v>
      </x:c>
      <x:c r="D19" s="21" t="n">
        <x:f>'Scaling Wide'!M4</x:f>
        <x:v>0.29</x:v>
      </x:c>
      <x:c r="E19" s="6" t="str">
        <x:v>%</x:v>
      </x:c>
      <x:c r="F19" s="6" t="str">
        <x:v>scaling_performance_data.xlsx</x:v>
      </x:c>
      <x:c r="G19" s="6" t="str">
        <x:v>Wide format</x:v>
      </x:c>
    </x:row>
    <x:row r="20">
      <x:c r="A20" s="6" t="str">
        <x:v>DeepSeek-VL-7B-chat</x:v>
      </x:c>
      <x:c r="B20" s="20" t="n">
        <x:v>10</x:v>
      </x:c>
      <x:c r="C20" s="21" t="n">
        <x:f>'Scaling Wide'!B5</x:f>
        <x:v>68.72</x:v>
      </x:c>
      <x:c r="D20" s="21" t="n">
        <x:f>'Scaling Wide'!C5</x:f>
        <x:v>1.89</x:v>
      </x:c>
      <x:c r="E20" s="6" t="str">
        <x:v>%</x:v>
      </x:c>
      <x:c r="F20" s="6" t="str">
        <x:v>scaling_performance_data.xlsx</x:v>
      </x:c>
      <x:c r="G20" s="6" t="str">
        <x:v>Wide format</x:v>
      </x:c>
    </x:row>
    <x:row r="21">
      <x:c r="A21" s="6" t="str">
        <x:v>DeepSeek-VL-7B-chat</x:v>
      </x:c>
      <x:c r="B21" s="20" t="n">
        <x:v>20</x:v>
      </x:c>
      <x:c r="C21" s="21" t="n">
        <x:f>'Scaling Wide'!D5</x:f>
        <x:v>49</x:v>
      </x:c>
      <x:c r="D21" s="21" t="n">
        <x:f>'Scaling Wide'!E5</x:f>
        <x:v>1.3</x:v>
      </x:c>
      <x:c r="E21" s="6" t="str">
        <x:v>%</x:v>
      </x:c>
      <x:c r="F21" s="6" t="str">
        <x:v>scaling_performance_data.xlsx</x:v>
      </x:c>
      <x:c r="G21" s="6" t="str">
        <x:v>Wide format</x:v>
      </x:c>
    </x:row>
    <x:row r="22">
      <x:c r="A22" s="6" t="str">
        <x:v>DeepSeek-VL-7B-chat</x:v>
      </x:c>
      <x:c r="B22" s="20" t="n">
        <x:v>100</x:v>
      </x:c>
      <x:c r="C22" s="21" t="n">
        <x:f>'Scaling Wide'!F5</x:f>
        <x:v>17.84</x:v>
      </x:c>
      <x:c r="D22" s="21" t="n">
        <x:f>'Scaling Wide'!G5</x:f>
        <x:v>0.87</x:v>
      </x:c>
      <x:c r="E22" s="6" t="str">
        <x:v>%</x:v>
      </x:c>
      <x:c r="F22" s="6" t="str">
        <x:v>scaling_performance_data.xlsx</x:v>
      </x:c>
      <x:c r="G22" s="6" t="str">
        <x:v>Wide format</x:v>
      </x:c>
    </x:row>
    <x:row r="23">
      <x:c r="A23" s="6" t="str">
        <x:v>DeepSeek-VL-7B-chat</x:v>
      </x:c>
      <x:c r="B23" s="20" t="n">
        <x:v>200</x:v>
      </x:c>
      <x:c r="C23" s="21" t="n">
        <x:f>'Scaling Wide'!H5</x:f>
        <x:v>7.21</x:v>
      </x:c>
      <x:c r="D23" s="21" t="n">
        <x:f>'Scaling Wide'!I5</x:f>
        <x:v>0.72</x:v>
      </x:c>
      <x:c r="E23" s="6" t="str">
        <x:v>%</x:v>
      </x:c>
      <x:c r="F23" s="6" t="str">
        <x:v>scaling_performance_data.xlsx</x:v>
      </x:c>
      <x:c r="G23" s="6" t="str">
        <x:v>Wide format</x:v>
      </x:c>
    </x:row>
    <x:row r="24">
      <x:c r="A24" s="6" t="str">
        <x:v>DeepSeek-VL-7B-chat</x:v>
      </x:c>
      <x:c r="B24" s="20" t="n">
        <x:v>500</x:v>
      </x:c>
      <x:c r="C24" s="21" t="n">
        <x:f>'Scaling Wide'!J5</x:f>
        <x:v>2.2</x:v>
      </x:c>
      <x:c r="D24" s="21" t="n">
        <x:f>'Scaling Wide'!K5</x:f>
        <x:v>0.48</x:v>
      </x:c>
      <x:c r="E24" s="6" t="str">
        <x:v>%</x:v>
      </x:c>
      <x:c r="F24" s="6" t="str">
        <x:v>scaling_performance_data.xlsx</x:v>
      </x:c>
      <x:c r="G24" s="6" t="str">
        <x:v>Wide format</x:v>
      </x:c>
    </x:row>
    <x:row r="25">
      <x:c r="A25" s="6" t="str">
        <x:v>DeepSeek-VL-7B-chat</x:v>
      </x:c>
      <x:c r="B25" s="20" t="n">
        <x:v>1000</x:v>
      </x:c>
      <x:c r="C25" s="21" t="n">
        <x:f>'Scaling Wide'!L5</x:f>
        <x:v>0.5</x:v>
      </x:c>
      <x:c r="D25" s="21" t="n">
        <x:f>'Scaling Wide'!M5</x:f>
        <x:v>0.33</x:v>
      </x:c>
      <x:c r="E25" s="6" t="str">
        <x:v>%</x:v>
      </x:c>
      <x:c r="F25" s="6" t="str">
        <x:v>scaling_performance_data.xlsx</x:v>
      </x:c>
      <x:c r="G25" s="6" t="str">
        <x:v>Wide format</x:v>
      </x:c>
    </x:row>
    <x:row r="26">
      <x:c r="A26" s="6" t="str">
        <x:v>Kimi-VL-A3B-Instruct</x:v>
      </x:c>
      <x:c r="B26" s="20" t="n">
        <x:v>10</x:v>
      </x:c>
      <x:c r="C26" s="21" t="n">
        <x:f>'Scaling Wide'!B6</x:f>
        <x:v>94.28</x:v>
      </x:c>
      <x:c r="D26" s="21" t="n">
        <x:f>'Scaling Wide'!C6</x:f>
        <x:v>1.83</x:v>
      </x:c>
      <x:c r="E26" s="6" t="str">
        <x:v>%</x:v>
      </x:c>
      <x:c r="F26" s="6" t="str">
        <x:v>scaling_performance_data.xlsx</x:v>
      </x:c>
      <x:c r="G26" s="6" t="str">
        <x:v>Wide format</x:v>
      </x:c>
    </x:row>
    <x:row r="27">
      <x:c r="A27" s="6" t="str">
        <x:v>Kimi-VL-A3B-Instruct</x:v>
      </x:c>
      <x:c r="B27" s="20" t="n">
        <x:v>20</x:v>
      </x:c>
      <x:c r="C27" s="21" t="n">
        <x:f>'Scaling Wide'!D6</x:f>
        <x:v>87.7</x:v>
      </x:c>
      <x:c r="D27" s="21" t="n">
        <x:f>'Scaling Wide'!E6</x:f>
        <x:v>1.62</x:v>
      </x:c>
      <x:c r="E27" s="6" t="str">
        <x:v>%</x:v>
      </x:c>
      <x:c r="F27" s="6" t="str">
        <x:v>scaling_performance_data.xlsx</x:v>
      </x:c>
      <x:c r="G27" s="6" t="str">
        <x:v>Wide format</x:v>
      </x:c>
    </x:row>
    <x:row r="28">
      <x:c r="A28" s="6" t="str">
        <x:v>Kimi-VL-A3B-Instruct</x:v>
      </x:c>
      <x:c r="B28" s="20" t="n">
        <x:v>100</x:v>
      </x:c>
      <x:c r="C28" s="21" t="n">
        <x:f>'Scaling Wide'!F6</x:f>
        <x:v>63.72</x:v>
      </x:c>
      <x:c r="D28" s="21" t="n">
        <x:f>'Scaling Wide'!G6</x:f>
        <x:v>1.33</x:v>
      </x:c>
      <x:c r="E28" s="6" t="str">
        <x:v>%</x:v>
      </x:c>
      <x:c r="F28" s="6" t="str">
        <x:v>scaling_performance_data.xlsx</x:v>
      </x:c>
      <x:c r="G28" s="6" t="str">
        <x:v>Wide format</x:v>
      </x:c>
    </x:row>
    <x:row r="29">
      <x:c r="A29" s="6" t="str">
        <x:v>Kimi-VL-A3B-Instruct</x:v>
      </x:c>
      <x:c r="B29" s="20" t="n">
        <x:v>200</x:v>
      </x:c>
      <x:c r="C29" s="21" t="n">
        <x:f>'Scaling Wide'!H6</x:f>
        <x:v>52.53</x:v>
      </x:c>
      <x:c r="D29" s="21" t="n">
        <x:f>'Scaling Wide'!I6</x:f>
        <x:v>0.99</x:v>
      </x:c>
      <x:c r="E29" s="6" t="str">
        <x:v>%</x:v>
      </x:c>
      <x:c r="F29" s="6" t="str">
        <x:v>scaling_performance_data.xlsx</x:v>
      </x:c>
      <x:c r="G29" s="6" t="str">
        <x:v>Wide format</x:v>
      </x:c>
    </x:row>
    <x:row r="30">
      <x:c r="A30" s="6" t="str">
        <x:v>Kimi-VL-A3B-Instruct</x:v>
      </x:c>
      <x:c r="B30" s="20" t="n">
        <x:v>500</x:v>
      </x:c>
      <x:c r="C30" s="21" t="n">
        <x:f>'Scaling Wide'!J6</x:f>
        <x:v>40.72</x:v>
      </x:c>
      <x:c r="D30" s="21" t="n">
        <x:f>'Scaling Wide'!K6</x:f>
        <x:v>0.47</x:v>
      </x:c>
      <x:c r="E30" s="6" t="str">
        <x:v>%</x:v>
      </x:c>
      <x:c r="F30" s="6" t="str">
        <x:v>scaling_performance_data.xlsx</x:v>
      </x:c>
      <x:c r="G30" s="6" t="str">
        <x:v>Wide format</x:v>
      </x:c>
    </x:row>
    <x:row r="31">
      <x:c r="A31" s="6" t="str">
        <x:v>Kimi-VL-A3B-Instruct</x:v>
      </x:c>
      <x:c r="B31" s="20" t="n">
        <x:v>1000</x:v>
      </x:c>
      <x:c r="C31" s="21" t="n">
        <x:f>'Scaling Wide'!L6</x:f>
        <x:v>35.69</x:v>
      </x:c>
      <x:c r="D31" s="21" t="n">
        <x:f>'Scaling Wide'!M6</x:f>
        <x:v>0.26</x:v>
      </x:c>
      <x:c r="E31" s="6" t="str">
        <x:v>%</x:v>
      </x:c>
      <x:c r="F31" s="6" t="str">
        <x:v>scaling_performance_data.xlsx</x:v>
      </x:c>
      <x:c r="G31" s="6" t="str">
        <x:v>Wide format</x:v>
      </x:c>
    </x:row>
    <x:row r="32">
      <x:c r="A32" s="6" t="str">
        <x:v>Qwen2.5-VL-7B-Instruct</x:v>
      </x:c>
      <x:c r="B32" s="20" t="n">
        <x:v>10</x:v>
      </x:c>
      <x:c r="C32" s="21" t="n">
        <x:f>'Scaling Wide'!B7</x:f>
        <x:v>97.16</x:v>
      </x:c>
      <x:c r="D32" s="21" t="n">
        <x:f>'Scaling Wide'!C7</x:f>
        <x:v>2.06</x:v>
      </x:c>
      <x:c r="E32" s="6" t="str">
        <x:v>%</x:v>
      </x:c>
      <x:c r="F32" s="6" t="str">
        <x:v>scaling_performance_data.xlsx</x:v>
      </x:c>
      <x:c r="G32" s="6" t="str">
        <x:v>Wide format</x:v>
      </x:c>
    </x:row>
    <x:row r="33">
      <x:c r="A33" s="6" t="str">
        <x:v>Qwen2.5-VL-7B-Instruct</x:v>
      </x:c>
      <x:c r="B33" s="20" t="n">
        <x:v>20</x:v>
      </x:c>
      <x:c r="C33" s="21" t="n">
        <x:f>'Scaling Wide'!D7</x:f>
        <x:v>95.24</x:v>
      </x:c>
      <x:c r="D33" s="21" t="n">
        <x:f>'Scaling Wide'!E7</x:f>
        <x:v>2.35</x:v>
      </x:c>
      <x:c r="E33" s="6" t="str">
        <x:v>%</x:v>
      </x:c>
      <x:c r="F33" s="6" t="str">
        <x:v>scaling_performance_data.xlsx</x:v>
      </x:c>
      <x:c r="G33" s="6" t="str">
        <x:v>Wide format</x:v>
      </x:c>
    </x:row>
    <x:row r="34">
      <x:c r="A34" s="6" t="str">
        <x:v>Qwen2.5-VL-7B-Instruct</x:v>
      </x:c>
      <x:c r="B34" s="20" t="n">
        <x:v>100</x:v>
      </x:c>
      <x:c r="C34" s="21" t="n">
        <x:f>'Scaling Wide'!F7</x:f>
        <x:v>84.88</x:v>
      </x:c>
      <x:c r="D34" s="21" t="n">
        <x:f>'Scaling Wide'!G7</x:f>
        <x:v>1.57</x:v>
      </x:c>
      <x:c r="E34" s="6" t="str">
        <x:v>%</x:v>
      </x:c>
      <x:c r="F34" s="6" t="str">
        <x:v>scaling_performance_data.xlsx</x:v>
      </x:c>
      <x:c r="G34" s="6" t="str">
        <x:v>Wide format</x:v>
      </x:c>
    </x:row>
    <x:row r="35">
      <x:c r="A35" s="6" t="str">
        <x:v>Qwen2.5-VL-7B-Instruct</x:v>
      </x:c>
      <x:c r="B35" s="20" t="n">
        <x:v>200</x:v>
      </x:c>
      <x:c r="C35" s="21" t="n">
        <x:f>'Scaling Wide'!H7</x:f>
        <x:v>82.94</x:v>
      </x:c>
      <x:c r="D35" s="21" t="n">
        <x:f>'Scaling Wide'!I7</x:f>
        <x:v>1.02</x:v>
      </x:c>
      <x:c r="E35" s="6" t="str">
        <x:v>%</x:v>
      </x:c>
      <x:c r="F35" s="6" t="str">
        <x:v>scaling_performance_data.xlsx</x:v>
      </x:c>
      <x:c r="G35" s="6" t="str">
        <x:v>Wide format</x:v>
      </x:c>
    </x:row>
    <x:row r="36">
      <x:c r="A36" s="6" t="str">
        <x:v>Qwen2.5-VL-7B-Instruct</x:v>
      </x:c>
      <x:c r="B36" s="20" t="n">
        <x:v>500</x:v>
      </x:c>
      <x:c r="C36" s="21" t="n">
        <x:f>'Scaling Wide'!J7</x:f>
        <x:v>70.4</x:v>
      </x:c>
      <x:c r="D36" s="21" t="n">
        <x:f>'Scaling Wide'!K7</x:f>
        <x:v>0.64</x:v>
      </x:c>
      <x:c r="E36" s="6" t="str">
        <x:v>%</x:v>
      </x:c>
      <x:c r="F36" s="6" t="str">
        <x:v>scaling_performance_data.xlsx</x:v>
      </x:c>
      <x:c r="G36" s="6" t="str">
        <x:v>Wide format</x:v>
      </x:c>
    </x:row>
    <x:row r="37">
      <x:c r="A37" s="6" t="str">
        <x:v>Qwen2.5-VL-7B-Instruct</x:v>
      </x:c>
      <x:c r="B37" s="20" t="n">
        <x:v>1000</x:v>
      </x:c>
      <x:c r="C37" s="21" t="n">
        <x:f>'Scaling Wide'!L7</x:f>
        <x:v>61.8</x:v>
      </x:c>
      <x:c r="D37" s="21" t="n">
        <x:f>'Scaling Wide'!M7</x:f>
        <x:v>0.73</x:v>
      </x:c>
      <x:c r="E37" s="6" t="str">
        <x:v>%</x:v>
      </x:c>
      <x:c r="F37" s="6" t="str">
        <x:v>scaling_performance_data.xlsx</x:v>
      </x:c>
      <x:c r="G37" s="6" t="str">
        <x:v>Wide format</x:v>
      </x:c>
    </x:row>
    <x:row r="38">
      <x:c r="A38" s="6" t="str">
        <x:v>Qwen2.5-VL-32B-Instruct</x:v>
      </x:c>
      <x:c r="B38" s="20" t="n">
        <x:v>10</x:v>
      </x:c>
      <x:c r="C38" s="21" t="n">
        <x:f>'Scaling Wide'!B8</x:f>
        <x:v>98.04</x:v>
      </x:c>
      <x:c r="D38" s="21" t="n">
        <x:f>'Scaling Wide'!C8</x:f>
        <x:v>1.94</x:v>
      </x:c>
      <x:c r="E38" s="6" t="str">
        <x:v>%</x:v>
      </x:c>
      <x:c r="F38" s="6" t="str">
        <x:v>scaling_performance_data.xlsx</x:v>
      </x:c>
      <x:c r="G38" s="6" t="str">
        <x:v>Wide format</x:v>
      </x:c>
    </x:row>
    <x:row r="39">
      <x:c r="A39" s="6" t="str">
        <x:v>Qwen2.5-VL-32B-Instruct</x:v>
      </x:c>
      <x:c r="B39" s="20" t="n">
        <x:v>20</x:v>
      </x:c>
      <x:c r="C39" s="21" t="n">
        <x:f>'Scaling Wide'!D8</x:f>
        <x:v>97.24</x:v>
      </x:c>
      <x:c r="D39" s="21" t="n">
        <x:f>'Scaling Wide'!E8</x:f>
        <x:v>1.55</x:v>
      </x:c>
      <x:c r="E39" s="6" t="str">
        <x:v>%</x:v>
      </x:c>
      <x:c r="F39" s="6" t="str">
        <x:v>scaling_performance_data.xlsx</x:v>
      </x:c>
      <x:c r="G39" s="6" t="str">
        <x:v>Wide format</x:v>
      </x:c>
    </x:row>
    <x:row r="40">
      <x:c r="A40" s="6" t="str">
        <x:v>Qwen2.5-VL-32B-Instruct</x:v>
      </x:c>
      <x:c r="B40" s="20" t="n">
        <x:v>100</x:v>
      </x:c>
      <x:c r="C40" s="21" t="n">
        <x:f>'Scaling Wide'!F8</x:f>
        <x:v>87</x:v>
      </x:c>
      <x:c r="D40" s="21" t="n">
        <x:f>'Scaling Wide'!G8</x:f>
        <x:v>1.65</x:v>
      </x:c>
      <x:c r="E40" s="6" t="str">
        <x:v>%</x:v>
      </x:c>
      <x:c r="F40" s="6" t="str">
        <x:v>scaling_performance_data.xlsx</x:v>
      </x:c>
      <x:c r="G40" s="6" t="str">
        <x:v>Wide format</x:v>
      </x:c>
    </x:row>
    <x:row r="41">
      <x:c r="A41" s="6" t="str">
        <x:v>Qwen2.5-VL-32B-Instruct</x:v>
      </x:c>
      <x:c r="B41" s="20" t="n">
        <x:v>200</x:v>
      </x:c>
      <x:c r="C41" s="21" t="n">
        <x:f>'Scaling Wide'!H8</x:f>
        <x:v>84.19</x:v>
      </x:c>
      <x:c r="D41" s="21" t="n">
        <x:f>'Scaling Wide'!I8</x:f>
        <x:v>1.35</x:v>
      </x:c>
      <x:c r="E41" s="6" t="str">
        <x:v>%</x:v>
      </x:c>
      <x:c r="F41" s="6" t="str">
        <x:v>scaling_performance_data.xlsx</x:v>
      </x:c>
      <x:c r="G41" s="6" t="str">
        <x:v>Wide format</x:v>
      </x:c>
    </x:row>
    <x:row r="42">
      <x:c r="A42" s="6" t="str">
        <x:v>Qwen2.5-VL-32B-Instruct</x:v>
      </x:c>
      <x:c r="B42" s="20" t="n">
        <x:v>500</x:v>
      </x:c>
      <x:c r="C42" s="21" t="n">
        <x:f>'Scaling Wide'!J8</x:f>
        <x:v>73.98</x:v>
      </x:c>
      <x:c r="D42" s="21" t="n">
        <x:f>'Scaling Wide'!K8</x:f>
        <x:v>1.76</x:v>
      </x:c>
      <x:c r="E42" s="6" t="str">
        <x:v>%</x:v>
      </x:c>
      <x:c r="F42" s="6" t="str">
        <x:v>scaling_performance_data.xlsx</x:v>
      </x:c>
      <x:c r="G42" s="6" t="str">
        <x:v>Wide format</x:v>
      </x:c>
    </x:row>
    <x:row r="43">
      <x:c r="A43" s="6" t="str">
        <x:v>Qwen2.5-VL-32B-Instruct</x:v>
      </x:c>
      <x:c r="B43" s="20" t="n">
        <x:v>1000</x:v>
      </x:c>
      <x:c r="C43" s="21" t="n">
        <x:f>'Scaling Wide'!L8</x:f>
        <x:v>65.5</x:v>
      </x:c>
      <x:c r="D43" s="21" t="n">
        <x:f>'Scaling Wide'!M8</x:f>
        <x:v>0.69</x:v>
      </x:c>
      <x:c r="E43" s="6" t="str">
        <x:v>%</x:v>
      </x:c>
      <x:c r="F43" s="6" t="str">
        <x:v>scaling_performance_data.xlsx</x:v>
      </x:c>
      <x:c r="G43" s="6" t="str">
        <x:v>Wide format</x:v>
      </x:c>
    </x:row>
    <x:row r="44">
      <x:c r="A44" s="6" t="str">
        <x:v>Qwen2.5-VL-MAX</x:v>
      </x:c>
      <x:c r="B44" s="20" t="n">
        <x:v>10</x:v>
      </x:c>
      <x:c r="C44" s="21" t="n">
        <x:f>'Scaling Wide'!B9</x:f>
        <x:v>98.52</x:v>
      </x:c>
      <x:c r="D44" s="21" t="n">
        <x:f>'Scaling Wide'!C9</x:f>
        <x:v>1.63</x:v>
      </x:c>
      <x:c r="E44" s="6" t="str">
        <x:v>%</x:v>
      </x:c>
      <x:c r="F44" s="6" t="str">
        <x:v>scaling_performance_data.xlsx</x:v>
      </x:c>
      <x:c r="G44" s="6" t="str">
        <x:v>Wide format</x:v>
      </x:c>
    </x:row>
    <x:row r="45">
      <x:c r="A45" s="6" t="str">
        <x:v>Qwen2.5-VL-MAX</x:v>
      </x:c>
      <x:c r="B45" s="20" t="n">
        <x:v>20</x:v>
      </x:c>
      <x:c r="C45" s="21" t="n">
        <x:f>'Scaling Wide'!D9</x:f>
        <x:v>97.24</x:v>
      </x:c>
      <x:c r="D45" s="21" t="n">
        <x:f>'Scaling Wide'!E9</x:f>
        <x:v>1.39</x:v>
      </x:c>
      <x:c r="E45" s="6" t="str">
        <x:v>%</x:v>
      </x:c>
      <x:c r="F45" s="6" t="str">
        <x:v>scaling_performance_data.xlsx</x:v>
      </x:c>
      <x:c r="G45" s="6" t="str">
        <x:v>Wide format</x:v>
      </x:c>
    </x:row>
    <x:row r="46">
      <x:c r="A46" s="6" t="str">
        <x:v>Qwen2.5-VL-MAX</x:v>
      </x:c>
      <x:c r="B46" s="20" t="n">
        <x:v>100</x:v>
      </x:c>
      <x:c r="C46" s="21" t="n">
        <x:f>'Scaling Wide'!F9</x:f>
        <x:v>90.52</x:v>
      </x:c>
      <x:c r="D46" s="21" t="n">
        <x:f>'Scaling Wide'!G9</x:f>
        <x:v>1.32</x:v>
      </x:c>
      <x:c r="E46" s="6" t="str">
        <x:v>%</x:v>
      </x:c>
      <x:c r="F46" s="6" t="str">
        <x:v>scaling_performance_data.xlsx</x:v>
      </x:c>
      <x:c r="G46" s="6" t="str">
        <x:v>Wide format</x:v>
      </x:c>
    </x:row>
    <x:row r="47">
      <x:c r="A47" s="6" t="str">
        <x:v>Qwen2.5-VL-MAX</x:v>
      </x:c>
      <x:c r="B47" s="20" t="n">
        <x:v>200</x:v>
      </x:c>
      <x:c r="C47" s="21" t="n">
        <x:f>'Scaling Wide'!H9</x:f>
        <x:v>86.45</x:v>
      </x:c>
      <x:c r="D47" s="21" t="n">
        <x:f>'Scaling Wide'!I9</x:f>
        <x:v>1.65</x:v>
      </x:c>
      <x:c r="E47" s="6" t="str">
        <x:v>%</x:v>
      </x:c>
      <x:c r="F47" s="6" t="str">
        <x:v>scaling_performance_data.xlsx</x:v>
      </x:c>
      <x:c r="G47" s="6" t="str">
        <x:v>Wide format</x:v>
      </x:c>
    </x:row>
    <x:row r="48">
      <x:c r="A48" s="6" t="str">
        <x:v>Qwen2.5-VL-MAX</x:v>
      </x:c>
      <x:c r="B48" s="20" t="n">
        <x:v>500</x:v>
      </x:c>
      <x:c r="C48" s="21" t="n">
        <x:f>'Scaling Wide'!J9</x:f>
        <x:v>79.5</x:v>
      </x:c>
      <x:c r="D48" s="21" t="n">
        <x:f>'Scaling Wide'!K9</x:f>
        <x:v>1.53</x:v>
      </x:c>
      <x:c r="E48" s="6" t="str">
        <x:v>%</x:v>
      </x:c>
      <x:c r="F48" s="6" t="str">
        <x:v>scaling_performance_data.xlsx</x:v>
      </x:c>
      <x:c r="G48" s="6" t="str">
        <x:v>Wide format</x:v>
      </x:c>
    </x:row>
    <x:row r="49">
      <x:c r="A49" s="6" t="str">
        <x:v>Qwen2.5-VL-MAX</x:v>
      </x:c>
      <x:c r="B49" s="20" t="n">
        <x:v>1000</x:v>
      </x:c>
      <x:c r="C49" s="21" t="n">
        <x:f>'Scaling Wide'!L9</x:f>
        <x:v>71.62</x:v>
      </x:c>
      <x:c r="D49" s="21" t="n">
        <x:f>'Scaling Wide'!M9</x:f>
        <x:v>0.98</x:v>
      </x:c>
      <x:c r="E49" s="6" t="str">
        <x:v>%</x:v>
      </x:c>
      <x:c r="F49" s="6" t="str">
        <x:v>scaling_performance_data.xlsx</x:v>
      </x:c>
      <x:c r="G49" s="6" t="str">
        <x:v>Wide format</x:v>
      </x:c>
    </x:row>
    <x:row r="50">
      <x:c r="A50" s="6" t="str">
        <x:v>Qwen3-VL-2B-Instruct</x:v>
      </x:c>
      <x:c r="B50" s="20" t="n">
        <x:v>10</x:v>
      </x:c>
      <x:c r="C50" s="21" t="n">
        <x:f>'Scaling Wide'!B10</x:f>
        <x:v>95.8</x:v>
      </x:c>
      <x:c r="D50" s="21" t="n">
        <x:f>'Scaling Wide'!C10</x:f>
        <x:v>1.87</x:v>
      </x:c>
      <x:c r="E50" s="6" t="str">
        <x:v>%</x:v>
      </x:c>
      <x:c r="F50" s="6" t="str">
        <x:v>scaling_performance_data.xlsx</x:v>
      </x:c>
      <x:c r="G50" s="6" t="str">
        <x:v>Wide format</x:v>
      </x:c>
    </x:row>
    <x:row r="51">
      <x:c r="A51" s="6" t="str">
        <x:v>Qwen3-VL-2B-Instruct</x:v>
      </x:c>
      <x:c r="B51" s="20" t="n">
        <x:v>20</x:v>
      </x:c>
      <x:c r="C51" s="21" t="n">
        <x:f>'Scaling Wide'!D10</x:f>
        <x:v>89.86</x:v>
      </x:c>
      <x:c r="D51" s="21" t="n">
        <x:f>'Scaling Wide'!E10</x:f>
        <x:v>1.84</x:v>
      </x:c>
      <x:c r="E51" s="6" t="str">
        <x:v>%</x:v>
      </x:c>
      <x:c r="F51" s="6" t="str">
        <x:v>scaling_performance_data.xlsx</x:v>
      </x:c>
      <x:c r="G51" s="6" t="str">
        <x:v>Wide format</x:v>
      </x:c>
    </x:row>
    <x:row r="52">
      <x:c r="A52" s="6" t="str">
        <x:v>Qwen3-VL-2B-Instruct</x:v>
      </x:c>
      <x:c r="B52" s="20" t="n">
        <x:v>100</x:v>
      </x:c>
      <x:c r="C52" s="21" t="n">
        <x:f>'Scaling Wide'!F10</x:f>
        <x:v>75.31</x:v>
      </x:c>
      <x:c r="D52" s="21" t="n">
        <x:f>'Scaling Wide'!G10</x:f>
        <x:v>1.6</x:v>
      </x:c>
      <x:c r="E52" s="6" t="str">
        <x:v>%</x:v>
      </x:c>
      <x:c r="F52" s="6" t="str">
        <x:v>scaling_performance_data.xlsx</x:v>
      </x:c>
      <x:c r="G52" s="6" t="str">
        <x:v>Wide format</x:v>
      </x:c>
    </x:row>
    <x:row r="53">
      <x:c r="A53" s="6" t="str">
        <x:v>Qwen3-VL-2B-Instruct</x:v>
      </x:c>
      <x:c r="B53" s="20" t="n">
        <x:v>200</x:v>
      </x:c>
      <x:c r="C53" s="21" t="n">
        <x:f>'Scaling Wide'!H10</x:f>
        <x:v>66.28</x:v>
      </x:c>
      <x:c r="D53" s="21" t="n">
        <x:f>'Scaling Wide'!I10</x:f>
        <x:v>1.11</x:v>
      </x:c>
      <x:c r="E53" s="6" t="str">
        <x:v>%</x:v>
      </x:c>
      <x:c r="F53" s="6" t="str">
        <x:v>scaling_performance_data.xlsx</x:v>
      </x:c>
      <x:c r="G53" s="6" t="str">
        <x:v>Wide format</x:v>
      </x:c>
    </x:row>
    <x:row r="54">
      <x:c r="A54" s="6" t="str">
        <x:v>Qwen3-VL-2B-Instruct</x:v>
      </x:c>
      <x:c r="B54" s="20" t="n">
        <x:v>500</x:v>
      </x:c>
      <x:c r="C54" s="21" t="n">
        <x:f>'Scaling Wide'!J10</x:f>
        <x:v>53.12</x:v>
      </x:c>
      <x:c r="D54" s="21" t="n">
        <x:f>'Scaling Wide'!K10</x:f>
        <x:v>0.77</x:v>
      </x:c>
      <x:c r="E54" s="6" t="str">
        <x:v>%</x:v>
      </x:c>
      <x:c r="F54" s="6" t="str">
        <x:v>scaling_performance_data.xlsx</x:v>
      </x:c>
      <x:c r="G54" s="6" t="str">
        <x:v>Wide format</x:v>
      </x:c>
    </x:row>
    <x:row r="55">
      <x:c r="A55" s="6" t="str">
        <x:v>Qwen3-VL-2B-Instruct</x:v>
      </x:c>
      <x:c r="B55" s="20" t="n">
        <x:v>1000</x:v>
      </x:c>
      <x:c r="C55" s="21" t="n">
        <x:f>'Scaling Wide'!L10</x:f>
        <x:v>40.54</x:v>
      </x:c>
      <x:c r="D55" s="21" t="n">
        <x:f>'Scaling Wide'!M10</x:f>
        <x:v>0.36</x:v>
      </x:c>
      <x:c r="E55" s="6" t="str">
        <x:v>%</x:v>
      </x:c>
      <x:c r="F55" s="6" t="str">
        <x:v>scaling_performance_data.xlsx</x:v>
      </x:c>
      <x:c r="G55" s="6" t="str">
        <x:v>Wide format</x:v>
      </x:c>
    </x:row>
    <x:row r="56">
      <x:c r="A56" s="6" t="str">
        <x:v>Qwen3-VL-8B-Instruct</x:v>
      </x:c>
      <x:c r="B56" s="20" t="n">
        <x:v>10</x:v>
      </x:c>
      <x:c r="C56" s="21" t="n">
        <x:f>'Scaling Wide'!B11</x:f>
        <x:v>97.04</x:v>
      </x:c>
      <x:c r="D56" s="21" t="n">
        <x:f>'Scaling Wide'!C11</x:f>
        <x:v>2.09</x:v>
      </x:c>
      <x:c r="E56" s="6" t="str">
        <x:v>%</x:v>
      </x:c>
      <x:c r="F56" s="6" t="str">
        <x:v>scaling_performance_data.xlsx</x:v>
      </x:c>
      <x:c r="G56" s="6" t="str">
        <x:v>Wide format</x:v>
      </x:c>
    </x:row>
    <x:row r="57">
      <x:c r="A57" s="6" t="str">
        <x:v>Qwen3-VL-8B-Instruct</x:v>
      </x:c>
      <x:c r="B57" s="20" t="n">
        <x:v>20</x:v>
      </x:c>
      <x:c r="C57" s="21" t="n">
        <x:f>'Scaling Wide'!D11</x:f>
        <x:v>96.8</x:v>
      </x:c>
      <x:c r="D57" s="21" t="n">
        <x:f>'Scaling Wide'!E11</x:f>
        <x:v>1.83</x:v>
      </x:c>
      <x:c r="E57" s="6" t="str">
        <x:v>%</x:v>
      </x:c>
      <x:c r="F57" s="6" t="str">
        <x:v>scaling_performance_data.xlsx</x:v>
      </x:c>
      <x:c r="G57" s="6" t="str">
        <x:v>Wide format</x:v>
      </x:c>
    </x:row>
    <x:row r="58">
      <x:c r="A58" s="6" t="str">
        <x:v>Qwen3-VL-8B-Instruct</x:v>
      </x:c>
      <x:c r="B58" s="20" t="n">
        <x:v>100</x:v>
      </x:c>
      <x:c r="C58" s="21" t="n">
        <x:f>'Scaling Wide'!F11</x:f>
        <x:v>91.02</x:v>
      </x:c>
      <x:c r="D58" s="21" t="n">
        <x:f>'Scaling Wide'!G11</x:f>
        <x:v>0.86</x:v>
      </x:c>
      <x:c r="E58" s="6" t="str">
        <x:v>%</x:v>
      </x:c>
      <x:c r="F58" s="6" t="str">
        <x:v>scaling_performance_data.xlsx</x:v>
      </x:c>
      <x:c r="G58" s="6" t="str">
        <x:v>Wide format</x:v>
      </x:c>
    </x:row>
    <x:row r="59">
      <x:c r="A59" s="6" t="str">
        <x:v>Qwen3-VL-8B-Instruct</x:v>
      </x:c>
      <x:c r="B59" s="20" t="n">
        <x:v>200</x:v>
      </x:c>
      <x:c r="C59" s="21" t="n">
        <x:f>'Scaling Wide'!H11</x:f>
        <x:v>84.24</x:v>
      </x:c>
      <x:c r="D59" s="21" t="n">
        <x:f>'Scaling Wide'!I11</x:f>
        <x:v>0.74</x:v>
      </x:c>
      <x:c r="E59" s="6" t="str">
        <x:v>%</x:v>
      </x:c>
      <x:c r="F59" s="6" t="str">
        <x:v>scaling_performance_data.xlsx</x:v>
      </x:c>
      <x:c r="G59" s="6" t="str">
        <x:v>Wide format</x:v>
      </x:c>
    </x:row>
    <x:row r="60">
      <x:c r="A60" s="6" t="str">
        <x:v>Qwen3-VL-8B-Instruct</x:v>
      </x:c>
      <x:c r="B60" s="20" t="n">
        <x:v>500</x:v>
      </x:c>
      <x:c r="C60" s="21" t="n">
        <x:f>'Scaling Wide'!J11</x:f>
        <x:v>76.56</x:v>
      </x:c>
      <x:c r="D60" s="21" t="n">
        <x:f>'Scaling Wide'!K11</x:f>
        <x:v>0.49</x:v>
      </x:c>
      <x:c r="E60" s="6" t="str">
        <x:v>%</x:v>
      </x:c>
      <x:c r="F60" s="6" t="str">
        <x:v>scaling_performance_data.xlsx</x:v>
      </x:c>
      <x:c r="G60" s="6" t="str">
        <x:v>Wide format</x:v>
      </x:c>
    </x:row>
    <x:row r="61">
      <x:c r="A61" s="6" t="str">
        <x:v>Qwen3-VL-8B-Instruct</x:v>
      </x:c>
      <x:c r="B61" s="20" t="n">
        <x:v>1000</x:v>
      </x:c>
      <x:c r="C61" s="21" t="n">
        <x:f>'Scaling Wide'!L11</x:f>
        <x:v>67.56</x:v>
      </x:c>
      <x:c r="D61" s="21" t="n">
        <x:f>'Scaling Wide'!M11</x:f>
        <x:v>0.38</x:v>
      </x:c>
      <x:c r="E61" s="6" t="str">
        <x:v>%</x:v>
      </x:c>
      <x:c r="F61" s="6" t="str">
        <x:v>scaling_performance_data.xlsx</x:v>
      </x:c>
      <x:c r="G61" s="6" t="str">
        <x:v>Wide format</x:v>
      </x:c>
    </x:row>
  </x:sheetData>
  <x:pageMargins left="0.7" right="0.7" top="0.75" bottom="0.75" header="0.3" footer="0.3"/>
  <x:tableParts count="1">
    <x:tablePart xmlns:r="http://schemas.openxmlformats.org/officeDocument/2006/relationships" r:id="R0e6b336287c343e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20" hidden="0" customWidth="1"/>
    <x:col min="4" max="4" width="1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24" hidden="0" customWidth="1"/>
    <x:col min="11" max="11" width="25" hidden="0" customWidth="1"/>
    <x:col min="12" max="12" width="25" hidden="0" customWidth="1"/>
  </x:cols>
  <x:sheetData>
    <x:row r="1" ht="32" customHeight="1">
      <x:c r="A1" s="14" t="str">
        <x:v>Model Key</x:v>
      </x:c>
      <x:c r="B1" s="15" t="str">
        <x:v>Panel</x:v>
      </x:c>
      <x:c r="C1" s="15" t="str">
        <x:v>Model</x:v>
      </x:c>
      <x:c r="D1" s="19" t="str">
        <x:v>Candidate Classes N</x:v>
      </x:c>
      <x:c r="E1" s="17" t="str">
        <x:v>Baseline Mean (%)</x:v>
      </x:c>
      <x:c r="F1" s="17" t="str">
        <x:v>Baseline SD (pp)</x:v>
      </x:c>
      <x:c r="G1" s="17" t="str">
        <x:v>DCI Mean (%)</x:v>
      </x:c>
      <x:c r="H1" s="17" t="str">
        <x:v>DCI SD (pp)</x:v>
      </x:c>
      <x:c r="I1" s="17" t="str">
        <x:v>Gain (pp)</x:v>
      </x:c>
      <x:c r="J1" s="15" t="str">
        <x:v>Unit</x:v>
      </x:c>
      <x:c r="K1" s="15" t="str">
        <x:v>Source Workbook</x:v>
      </x:c>
      <x:c r="L1" s="16" t="str">
        <x:v>Authority Sheet</x:v>
      </x:c>
    </x:row>
    <x:row r="2">
      <x:c r="A2" s="6" t="str">
        <x:v>qwen7b</x:v>
      </x:c>
      <x:c r="B2" s="6" t="str">
        <x:v>(a)</x:v>
      </x:c>
      <x:c r="C2" s="6" t="str">
        <x:v>Qwen2.5-VL-7B-Instruct</x:v>
      </x:c>
      <x:c r="D2" s="20" t="n">
        <x:v>10</x:v>
      </x:c>
      <x:c r="E2" s="18" t="n">
        <x:v>97.16</x:v>
      </x:c>
      <x:c r="F2" s="18" t="n">
        <x:v>2.06</x:v>
      </x:c>
      <x:c r="G2" s="18" t="n">
        <x:v>97.76</x:v>
      </x:c>
      <x:c r="H2" s="18" t="n">
        <x:v>2.17</x:v>
      </x:c>
      <x:c r="I2" s="21" t="n">
        <x:f>ROUND(G2-E2,2)</x:f>
        <x:v>0.6</x:v>
      </x:c>
      <x:c r="J2" s="6" t="str">
        <x:v>%</x:v>
      </x:c>
      <x:c r="K2" s="6" t="str">
        <x:v>dci抑制下降.xlsx</x:v>
      </x:c>
      <x:c r="L2" s="6" t="str">
        <x:v>Data_Input</x:v>
      </x:c>
    </x:row>
    <x:row r="3">
      <x:c r="A3" s="6" t="str">
        <x:v>qwen7b</x:v>
      </x:c>
      <x:c r="B3" s="6" t="str">
        <x:v>(a)</x:v>
      </x:c>
      <x:c r="C3" s="6" t="str">
        <x:v>Qwen2.5-VL-7B-Instruct</x:v>
      </x:c>
      <x:c r="D3" s="20" t="n">
        <x:v>20</x:v>
      </x:c>
      <x:c r="E3" s="18" t="n">
        <x:v>95.24</x:v>
      </x:c>
      <x:c r="F3" s="18" t="n">
        <x:v>2.35</x:v>
      </x:c>
      <x:c r="G3" s="18" t="n">
        <x:v>96.04</x:v>
      </x:c>
      <x:c r="H3" s="18" t="n">
        <x:v>1.94</x:v>
      </x:c>
      <x:c r="I3" s="21" t="n">
        <x:f>ROUND(G3-E3,2)</x:f>
        <x:v>0.8</x:v>
      </x:c>
      <x:c r="J3" s="6" t="str">
        <x:v>%</x:v>
      </x:c>
      <x:c r="K3" s="6" t="str">
        <x:v>dci抑制下降.xlsx</x:v>
      </x:c>
      <x:c r="L3" s="6" t="str">
        <x:v>Data_Input</x:v>
      </x:c>
    </x:row>
    <x:row r="4">
      <x:c r="A4" s="6" t="str">
        <x:v>qwen7b</x:v>
      </x:c>
      <x:c r="B4" s="6" t="str">
        <x:v>(a)</x:v>
      </x:c>
      <x:c r="C4" s="6" t="str">
        <x:v>Qwen2.5-VL-7B-Instruct</x:v>
      </x:c>
      <x:c r="D4" s="20" t="n">
        <x:v>100</x:v>
      </x:c>
      <x:c r="E4" s="18" t="n">
        <x:v>84.88</x:v>
      </x:c>
      <x:c r="F4" s="18" t="n">
        <x:v>1.57</x:v>
      </x:c>
      <x:c r="G4" s="18" t="n">
        <x:v>90</x:v>
      </x:c>
      <x:c r="H4" s="18" t="n">
        <x:v>1.79</x:v>
      </x:c>
      <x:c r="I4" s="21" t="n">
        <x:f>ROUND(G4-E4,2)</x:f>
        <x:v>5.12</x:v>
      </x:c>
      <x:c r="J4" s="6" t="str">
        <x:v>%</x:v>
      </x:c>
      <x:c r="K4" s="6" t="str">
        <x:v>dci抑制下降.xlsx</x:v>
      </x:c>
      <x:c r="L4" s="6" t="str">
        <x:v>Data_Input</x:v>
      </x:c>
    </x:row>
    <x:row r="5">
      <x:c r="A5" s="6" t="str">
        <x:v>qwen7b</x:v>
      </x:c>
      <x:c r="B5" s="6" t="str">
        <x:v>(a)</x:v>
      </x:c>
      <x:c r="C5" s="6" t="str">
        <x:v>Qwen2.5-VL-7B-Instruct</x:v>
      </x:c>
      <x:c r="D5" s="20" t="n">
        <x:v>200</x:v>
      </x:c>
      <x:c r="E5" s="18" t="n">
        <x:v>82.94</x:v>
      </x:c>
      <x:c r="F5" s="18" t="n">
        <x:v>1.02</x:v>
      </x:c>
      <x:c r="G5" s="18" t="n">
        <x:v>85.43</x:v>
      </x:c>
      <x:c r="H5" s="18" t="n">
        <x:v>1.17</x:v>
      </x:c>
      <x:c r="I5" s="21" t="n">
        <x:f>ROUND(G5-E5,2)</x:f>
        <x:v>2.49</x:v>
      </x:c>
      <x:c r="J5" s="6" t="str">
        <x:v>%</x:v>
      </x:c>
      <x:c r="K5" s="6" t="str">
        <x:v>dci抑制下降.xlsx</x:v>
      </x:c>
      <x:c r="L5" s="6" t="str">
        <x:v>Data_Input</x:v>
      </x:c>
    </x:row>
    <x:row r="6">
      <x:c r="A6" s="6" t="str">
        <x:v>qwen7b</x:v>
      </x:c>
      <x:c r="B6" s="6" t="str">
        <x:v>(a)</x:v>
      </x:c>
      <x:c r="C6" s="6" t="str">
        <x:v>Qwen2.5-VL-7B-Instruct</x:v>
      </x:c>
      <x:c r="D6" s="20" t="n">
        <x:v>500</x:v>
      </x:c>
      <x:c r="E6" s="18" t="n">
        <x:v>70.4</x:v>
      </x:c>
      <x:c r="F6" s="18" t="n">
        <x:v>0.64</x:v>
      </x:c>
      <x:c r="G6" s="18" t="n">
        <x:v>78.15</x:v>
      </x:c>
      <x:c r="H6" s="18" t="n">
        <x:v>0.6</x:v>
      </x:c>
      <x:c r="I6" s="21" t="n">
        <x:f>ROUND(G6-E6,2)</x:f>
        <x:v>7.75</x:v>
      </x:c>
      <x:c r="J6" s="6" t="str">
        <x:v>%</x:v>
      </x:c>
      <x:c r="K6" s="6" t="str">
        <x:v>dci抑制下降.xlsx</x:v>
      </x:c>
      <x:c r="L6" s="6" t="str">
        <x:v>Data_Input</x:v>
      </x:c>
    </x:row>
    <x:row r="7">
      <x:c r="A7" s="6" t="str">
        <x:v>qwen7b</x:v>
      </x:c>
      <x:c r="B7" s="6" t="str">
        <x:v>(a)</x:v>
      </x:c>
      <x:c r="C7" s="6" t="str">
        <x:v>Qwen2.5-VL-7B-Instruct</x:v>
      </x:c>
      <x:c r="D7" s="20" t="n">
        <x:v>1000</x:v>
      </x:c>
      <x:c r="E7" s="18" t="n">
        <x:v>61.8</x:v>
      </x:c>
      <x:c r="F7" s="18" t="n">
        <x:v>0.73</x:v>
      </x:c>
      <x:c r="G7" s="18" t="n">
        <x:v>71.57</x:v>
      </x:c>
      <x:c r="H7" s="18" t="n">
        <x:v>0.68</x:v>
      </x:c>
      <x:c r="I7" s="21" t="n">
        <x:f>ROUND(G7-E7,2)</x:f>
        <x:v>9.77</x:v>
      </x:c>
      <x:c r="J7" s="6" t="str">
        <x:v>%</x:v>
      </x:c>
      <x:c r="K7" s="6" t="str">
        <x:v>dci抑制下降.xlsx</x:v>
      </x:c>
      <x:c r="L7" s="6" t="str">
        <x:v>Data_Input</x:v>
      </x:c>
    </x:row>
    <x:row r="8">
      <x:c r="A8" s="6" t="str">
        <x:v>qwen2b</x:v>
      </x:c>
      <x:c r="B8" s="6" t="str">
        <x:v>(b)</x:v>
      </x:c>
      <x:c r="C8" s="6" t="str">
        <x:v>Qwen3-VL-2B-Instruct</x:v>
      </x:c>
      <x:c r="D8" s="20" t="n">
        <x:v>10</x:v>
      </x:c>
      <x:c r="E8" s="18" t="n">
        <x:v>95.8</x:v>
      </x:c>
      <x:c r="F8" s="18" t="n">
        <x:v>1.87</x:v>
      </x:c>
      <x:c r="G8" s="18" t="n">
        <x:v>92.92</x:v>
      </x:c>
      <x:c r="H8" s="18" t="n">
        <x:v>1.85</x:v>
      </x:c>
      <x:c r="I8" s="21" t="n">
        <x:f>ROUND(G8-E8,2)</x:f>
        <x:v>-2.88</x:v>
      </x:c>
      <x:c r="J8" s="6" t="str">
        <x:v>%</x:v>
      </x:c>
      <x:c r="K8" s="6" t="str">
        <x:v>dci抑制下降.xlsx</x:v>
      </x:c>
      <x:c r="L8" s="6" t="str">
        <x:v>Data_Input</x:v>
      </x:c>
    </x:row>
    <x:row r="9">
      <x:c r="A9" s="6" t="str">
        <x:v>qwen2b</x:v>
      </x:c>
      <x:c r="B9" s="6" t="str">
        <x:v>(b)</x:v>
      </x:c>
      <x:c r="C9" s="6" t="str">
        <x:v>Qwen3-VL-2B-Instruct</x:v>
      </x:c>
      <x:c r="D9" s="20" t="n">
        <x:v>20</x:v>
      </x:c>
      <x:c r="E9" s="18" t="n">
        <x:v>89.86</x:v>
      </x:c>
      <x:c r="F9" s="18" t="n">
        <x:v>1.84</x:v>
      </x:c>
      <x:c r="G9" s="18" t="n">
        <x:v>89.14</x:v>
      </x:c>
      <x:c r="H9" s="18" t="n">
        <x:v>1.5</x:v>
      </x:c>
      <x:c r="I9" s="21" t="n">
        <x:f>ROUND(G9-E9,2)</x:f>
        <x:v>-0.72</x:v>
      </x:c>
      <x:c r="J9" s="6" t="str">
        <x:v>%</x:v>
      </x:c>
      <x:c r="K9" s="6" t="str">
        <x:v>dci抑制下降.xlsx</x:v>
      </x:c>
      <x:c r="L9" s="6" t="str">
        <x:v>Data_Input</x:v>
      </x:c>
    </x:row>
    <x:row r="10">
      <x:c r="A10" s="6" t="str">
        <x:v>qwen2b</x:v>
      </x:c>
      <x:c r="B10" s="6" t="str">
        <x:v>(b)</x:v>
      </x:c>
      <x:c r="C10" s="6" t="str">
        <x:v>Qwen3-VL-2B-Instruct</x:v>
      </x:c>
      <x:c r="D10" s="20" t="n">
        <x:v>100</x:v>
      </x:c>
      <x:c r="E10" s="18" t="n">
        <x:v>75.31</x:v>
      </x:c>
      <x:c r="F10" s="18" t="n">
        <x:v>1.6</x:v>
      </x:c>
      <x:c r="G10" s="18" t="n">
        <x:v>76.19</x:v>
      </x:c>
      <x:c r="H10" s="18" t="n">
        <x:v>1.33</x:v>
      </x:c>
      <x:c r="I10" s="21" t="n">
        <x:f>ROUND(G10-E10,2)</x:f>
        <x:v>0.88</x:v>
      </x:c>
      <x:c r="J10" s="6" t="str">
        <x:v>%</x:v>
      </x:c>
      <x:c r="K10" s="6" t="str">
        <x:v>dci抑制下降.xlsx</x:v>
      </x:c>
      <x:c r="L10" s="6" t="str">
        <x:v>Data_Input</x:v>
      </x:c>
    </x:row>
    <x:row r="11">
      <x:c r="A11" s="6" t="str">
        <x:v>qwen2b</x:v>
      </x:c>
      <x:c r="B11" s="6" t="str">
        <x:v>(b)</x:v>
      </x:c>
      <x:c r="C11" s="6" t="str">
        <x:v>Qwen3-VL-2B-Instruct</x:v>
      </x:c>
      <x:c r="D11" s="20" t="n">
        <x:v>200</x:v>
      </x:c>
      <x:c r="E11" s="18" t="n">
        <x:v>66.28</x:v>
      </x:c>
      <x:c r="F11" s="18" t="n">
        <x:v>1.11</x:v>
      </x:c>
      <x:c r="G11" s="18" t="n">
        <x:v>67.09</x:v>
      </x:c>
      <x:c r="H11" s="18" t="n">
        <x:v>1.34</x:v>
      </x:c>
      <x:c r="I11" s="21" t="n">
        <x:f>ROUND(G11-E11,2)</x:f>
        <x:v>0.81</x:v>
      </x:c>
      <x:c r="J11" s="6" t="str">
        <x:v>%</x:v>
      </x:c>
      <x:c r="K11" s="6" t="str">
        <x:v>dci抑制下降.xlsx</x:v>
      </x:c>
      <x:c r="L11" s="6" t="str">
        <x:v>Data_Input</x:v>
      </x:c>
    </x:row>
    <x:row r="12">
      <x:c r="A12" s="6" t="str">
        <x:v>qwen2b</x:v>
      </x:c>
      <x:c r="B12" s="6" t="str">
        <x:v>(b)</x:v>
      </x:c>
      <x:c r="C12" s="6" t="str">
        <x:v>Qwen3-VL-2B-Instruct</x:v>
      </x:c>
      <x:c r="D12" s="20" t="n">
        <x:v>500</x:v>
      </x:c>
      <x:c r="E12" s="18" t="n">
        <x:v>53.12</x:v>
      </x:c>
      <x:c r="F12" s="18" t="n">
        <x:v>0.77</x:v>
      </x:c>
      <x:c r="G12" s="18" t="n">
        <x:v>55.18</x:v>
      </x:c>
      <x:c r="H12" s="18" t="n">
        <x:v>0.61</x:v>
      </x:c>
      <x:c r="I12" s="21" t="n">
        <x:f>ROUND(G12-E12,2)</x:f>
        <x:v>2.06</x:v>
      </x:c>
      <x:c r="J12" s="6" t="str">
        <x:v>%</x:v>
      </x:c>
      <x:c r="K12" s="6" t="str">
        <x:v>dci抑制下降.xlsx</x:v>
      </x:c>
      <x:c r="L12" s="6" t="str">
        <x:v>Data_Input</x:v>
      </x:c>
    </x:row>
    <x:row r="13">
      <x:c r="A13" s="6" t="str">
        <x:v>qwen2b</x:v>
      </x:c>
      <x:c r="B13" s="6" t="str">
        <x:v>(b)</x:v>
      </x:c>
      <x:c r="C13" s="6" t="str">
        <x:v>Qwen3-VL-2B-Instruct</x:v>
      </x:c>
      <x:c r="D13" s="20" t="n">
        <x:v>1000</x:v>
      </x:c>
      <x:c r="E13" s="18" t="n">
        <x:v>40.54</x:v>
      </x:c>
      <x:c r="F13" s="18" t="n">
        <x:v>0.36</x:v>
      </x:c>
      <x:c r="G13" s="18" t="n">
        <x:v>51.36</x:v>
      </x:c>
      <x:c r="H13" s="18" t="n">
        <x:v>0.32</x:v>
      </x:c>
      <x:c r="I13" s="21" t="n">
        <x:f>ROUND(G13-E13,2)</x:f>
        <x:v>10.82</x:v>
      </x:c>
      <x:c r="J13" s="6" t="str">
        <x:v>%</x:v>
      </x:c>
      <x:c r="K13" s="6" t="str">
        <x:v>dci抑制下降.xlsx</x:v>
      </x:c>
      <x:c r="L13" s="6" t="str">
        <x:v>Data_Input</x:v>
      </x:c>
    </x:row>
    <x:row r="14">
      <x:c r="A14" s="6" t="str">
        <x:v>qwen8b</x:v>
      </x:c>
      <x:c r="B14" s="6" t="str">
        <x:v>(c)</x:v>
      </x:c>
      <x:c r="C14" s="6" t="str">
        <x:v>Qwen3-VL-8B-Instruct</x:v>
      </x:c>
      <x:c r="D14" s="20" t="n">
        <x:v>10</x:v>
      </x:c>
      <x:c r="E14" s="18" t="n">
        <x:v>97.04</x:v>
      </x:c>
      <x:c r="F14" s="18" t="n">
        <x:v>2.09</x:v>
      </x:c>
      <x:c r="G14" s="18" t="n">
        <x:v>97.08</x:v>
      </x:c>
      <x:c r="H14" s="18" t="n">
        <x:v>1.81</x:v>
      </x:c>
      <x:c r="I14" s="21" t="n">
        <x:f>ROUND(G14-E14,2)</x:f>
        <x:v>0.04</x:v>
      </x:c>
      <x:c r="J14" s="6" t="str">
        <x:v>%</x:v>
      </x:c>
      <x:c r="K14" s="6" t="str">
        <x:v>dci抑制下降.xlsx</x:v>
      </x:c>
      <x:c r="L14" s="6" t="str">
        <x:v>Data_Input</x:v>
      </x:c>
    </x:row>
    <x:row r="15">
      <x:c r="A15" s="6" t="str">
        <x:v>qwen8b</x:v>
      </x:c>
      <x:c r="B15" s="6" t="str">
        <x:v>(c)</x:v>
      </x:c>
      <x:c r="C15" s="6" t="str">
        <x:v>Qwen3-VL-8B-Instruct</x:v>
      </x:c>
      <x:c r="D15" s="20" t="n">
        <x:v>20</x:v>
      </x:c>
      <x:c r="E15" s="18" t="n">
        <x:v>96.8</x:v>
      </x:c>
      <x:c r="F15" s="18" t="n">
        <x:v>1.83</x:v>
      </x:c>
      <x:c r="G15" s="18" t="n">
        <x:v>97.62</x:v>
      </x:c>
      <x:c r="H15" s="18" t="n">
        <x:v>1.93</x:v>
      </x:c>
      <x:c r="I15" s="21" t="n">
        <x:f>ROUND(G15-E15,2)</x:f>
        <x:v>0.82</x:v>
      </x:c>
      <x:c r="J15" s="6" t="str">
        <x:v>%</x:v>
      </x:c>
      <x:c r="K15" s="6" t="str">
        <x:v>dci抑制下降.xlsx</x:v>
      </x:c>
      <x:c r="L15" s="6" t="str">
        <x:v>Data_Input</x:v>
      </x:c>
    </x:row>
    <x:row r="16">
      <x:c r="A16" s="6" t="str">
        <x:v>qwen8b</x:v>
      </x:c>
      <x:c r="B16" s="6" t="str">
        <x:v>(c)</x:v>
      </x:c>
      <x:c r="C16" s="6" t="str">
        <x:v>Qwen3-VL-8B-Instruct</x:v>
      </x:c>
      <x:c r="D16" s="20" t="n">
        <x:v>100</x:v>
      </x:c>
      <x:c r="E16" s="18" t="n">
        <x:v>91.02</x:v>
      </x:c>
      <x:c r="F16" s="18" t="n">
        <x:v>0.86</x:v>
      </x:c>
      <x:c r="G16" s="18" t="n">
        <x:v>91.79</x:v>
      </x:c>
      <x:c r="H16" s="18" t="n">
        <x:v>1.66</x:v>
      </x:c>
      <x:c r="I16" s="21" t="n">
        <x:f>ROUND(G16-E16,2)</x:f>
        <x:v>0.77</x:v>
      </x:c>
      <x:c r="J16" s="6" t="str">
        <x:v>%</x:v>
      </x:c>
      <x:c r="K16" s="6" t="str">
        <x:v>dci抑制下降.xlsx</x:v>
      </x:c>
      <x:c r="L16" s="6" t="str">
        <x:v>Data_Input</x:v>
      </x:c>
    </x:row>
    <x:row r="17">
      <x:c r="A17" s="6" t="str">
        <x:v>qwen8b</x:v>
      </x:c>
      <x:c r="B17" s="6" t="str">
        <x:v>(c)</x:v>
      </x:c>
      <x:c r="C17" s="6" t="str">
        <x:v>Qwen3-VL-8B-Instruct</x:v>
      </x:c>
      <x:c r="D17" s="20" t="n">
        <x:v>200</x:v>
      </x:c>
      <x:c r="E17" s="18" t="n">
        <x:v>84.24</x:v>
      </x:c>
      <x:c r="F17" s="18" t="n">
        <x:v>0.74</x:v>
      </x:c>
      <x:c r="G17" s="18" t="n">
        <x:v>86.62</x:v>
      </x:c>
      <x:c r="H17" s="18" t="n">
        <x:v>0.59</x:v>
      </x:c>
      <x:c r="I17" s="21" t="n">
        <x:f>ROUND(G17-E17,2)</x:f>
        <x:v>2.38</x:v>
      </x:c>
      <x:c r="J17" s="6" t="str">
        <x:v>%</x:v>
      </x:c>
      <x:c r="K17" s="6" t="str">
        <x:v>dci抑制下降.xlsx</x:v>
      </x:c>
      <x:c r="L17" s="6" t="str">
        <x:v>Data_Input</x:v>
      </x:c>
    </x:row>
    <x:row r="18">
      <x:c r="A18" s="6" t="str">
        <x:v>qwen8b</x:v>
      </x:c>
      <x:c r="B18" s="6" t="str">
        <x:v>(c)</x:v>
      </x:c>
      <x:c r="C18" s="6" t="str">
        <x:v>Qwen3-VL-8B-Instruct</x:v>
      </x:c>
      <x:c r="D18" s="20" t="n">
        <x:v>500</x:v>
      </x:c>
      <x:c r="E18" s="18" t="n">
        <x:v>76.56</x:v>
      </x:c>
      <x:c r="F18" s="18" t="n">
        <x:v>0.49</x:v>
      </x:c>
      <x:c r="G18" s="18" t="n">
        <x:v>78.56</x:v>
      </x:c>
      <x:c r="H18" s="18" t="n">
        <x:v>0.48</x:v>
      </x:c>
      <x:c r="I18" s="21" t="n">
        <x:f>ROUND(G18-E18,2)</x:f>
        <x:v>2</x:v>
      </x:c>
      <x:c r="J18" s="6" t="str">
        <x:v>%</x:v>
      </x:c>
      <x:c r="K18" s="6" t="str">
        <x:v>dci抑制下降.xlsx</x:v>
      </x:c>
      <x:c r="L18" s="6" t="str">
        <x:v>Data_Input</x:v>
      </x:c>
    </x:row>
    <x:row r="19">
      <x:c r="A19" s="6" t="str">
        <x:v>qwen8b</x:v>
      </x:c>
      <x:c r="B19" s="6" t="str">
        <x:v>(c)</x:v>
      </x:c>
      <x:c r="C19" s="6" t="str">
        <x:v>Qwen3-VL-8B-Instruct</x:v>
      </x:c>
      <x:c r="D19" s="20" t="n">
        <x:v>1000</x:v>
      </x:c>
      <x:c r="E19" s="18" t="n">
        <x:v>67.56</x:v>
      </x:c>
      <x:c r="F19" s="18" t="n">
        <x:v>0.38</x:v>
      </x:c>
      <x:c r="G19" s="18" t="n">
        <x:v>71.16</x:v>
      </x:c>
      <x:c r="H19" s="18" t="n">
        <x:v>0.44</x:v>
      </x:c>
      <x:c r="I19" s="21" t="n">
        <x:f>ROUND(G19-E19,2)</x:f>
        <x:v>3.6</x:v>
      </x:c>
      <x:c r="J19" s="6" t="str">
        <x:v>%</x:v>
      </x:c>
      <x:c r="K19" s="6" t="str">
        <x:v>dci抑制下降.xlsx</x:v>
      </x:c>
      <x:c r="L19" s="6" t="str">
        <x:v>Data_Input</x:v>
      </x:c>
    </x:row>
    <x:row r="20">
      <x:c r="A20" s="6" t="str">
        <x:v>deepseek</x:v>
      </x:c>
      <x:c r="B20" s="6" t="str">
        <x:v>(d)</x:v>
      </x:c>
      <x:c r="C20" s="6" t="str">
        <x:v>DeepSeek-VL-7B-chat</x:v>
      </x:c>
      <x:c r="D20" s="20" t="n">
        <x:v>10</x:v>
      </x:c>
      <x:c r="E20" s="18" t="n">
        <x:v>68.72</x:v>
      </x:c>
      <x:c r="F20" s="18" t="n">
        <x:v>1.89</x:v>
      </x:c>
      <x:c r="G20" s="18" t="n">
        <x:v>67.04</x:v>
      </x:c>
      <x:c r="H20" s="18" t="n">
        <x:v>1.73</x:v>
      </x:c>
      <x:c r="I20" s="21" t="n">
        <x:f>ROUND(G20-E20,2)</x:f>
        <x:v>-1.68</x:v>
      </x:c>
      <x:c r="J20" s="6" t="str">
        <x:v>%</x:v>
      </x:c>
      <x:c r="K20" s="6" t="str">
        <x:v>dci抑制下降.xlsx</x:v>
      </x:c>
      <x:c r="L20" s="6" t="str">
        <x:v>Data_Input</x:v>
      </x:c>
    </x:row>
    <x:row r="21">
      <x:c r="A21" s="6" t="str">
        <x:v>deepseek</x:v>
      </x:c>
      <x:c r="B21" s="6" t="str">
        <x:v>(d)</x:v>
      </x:c>
      <x:c r="C21" s="6" t="str">
        <x:v>DeepSeek-VL-7B-chat</x:v>
      </x:c>
      <x:c r="D21" s="20" t="n">
        <x:v>20</x:v>
      </x:c>
      <x:c r="E21" s="18" t="n">
        <x:v>49</x:v>
      </x:c>
      <x:c r="F21" s="18" t="n">
        <x:v>1.3</x:v>
      </x:c>
      <x:c r="G21" s="18" t="n">
        <x:v>56.02</x:v>
      </x:c>
      <x:c r="H21" s="18" t="n">
        <x:v>1.37</x:v>
      </x:c>
      <x:c r="I21" s="21" t="n">
        <x:f>ROUND(G21-E21,2)</x:f>
        <x:v>7.02</x:v>
      </x:c>
      <x:c r="J21" s="6" t="str">
        <x:v>%</x:v>
      </x:c>
      <x:c r="K21" s="6" t="str">
        <x:v>dci抑制下降.xlsx</x:v>
      </x:c>
      <x:c r="L21" s="6" t="str">
        <x:v>Data_Input</x:v>
      </x:c>
    </x:row>
    <x:row r="22">
      <x:c r="A22" s="6" t="str">
        <x:v>deepseek</x:v>
      </x:c>
      <x:c r="B22" s="6" t="str">
        <x:v>(d)</x:v>
      </x:c>
      <x:c r="C22" s="6" t="str">
        <x:v>DeepSeek-VL-7B-chat</x:v>
      </x:c>
      <x:c r="D22" s="20" t="n">
        <x:v>100</x:v>
      </x:c>
      <x:c r="E22" s="18" t="n">
        <x:v>17.84</x:v>
      </x:c>
      <x:c r="F22" s="18" t="n">
        <x:v>0.87</x:v>
      </x:c>
      <x:c r="G22" s="18" t="n">
        <x:v>39.58</x:v>
      </x:c>
      <x:c r="H22" s="18" t="n">
        <x:v>1.05</x:v>
      </x:c>
      <x:c r="I22" s="21" t="n">
        <x:f>ROUND(G22-E22,2)</x:f>
        <x:v>21.74</x:v>
      </x:c>
      <x:c r="J22" s="6" t="str">
        <x:v>%</x:v>
      </x:c>
      <x:c r="K22" s="6" t="str">
        <x:v>dci抑制下降.xlsx</x:v>
      </x:c>
      <x:c r="L22" s="6" t="str">
        <x:v>Data_Input</x:v>
      </x:c>
    </x:row>
    <x:row r="23">
      <x:c r="A23" s="6" t="str">
        <x:v>deepseek</x:v>
      </x:c>
      <x:c r="B23" s="6" t="str">
        <x:v>(d)</x:v>
      </x:c>
      <x:c r="C23" s="6" t="str">
        <x:v>DeepSeek-VL-7B-chat</x:v>
      </x:c>
      <x:c r="D23" s="20" t="n">
        <x:v>200</x:v>
      </x:c>
      <x:c r="E23" s="18" t="n">
        <x:v>7.21</x:v>
      </x:c>
      <x:c r="F23" s="18" t="n">
        <x:v>0.72</x:v>
      </x:c>
      <x:c r="G23" s="18" t="n">
        <x:v>31.46</x:v>
      </x:c>
      <x:c r="H23" s="18" t="n">
        <x:v>0.65</x:v>
      </x:c>
      <x:c r="I23" s="21" t="n">
        <x:f>ROUND(G23-E23,2)</x:f>
        <x:v>24.25</x:v>
      </x:c>
      <x:c r="J23" s="6" t="str">
        <x:v>%</x:v>
      </x:c>
      <x:c r="K23" s="6" t="str">
        <x:v>dci抑制下降.xlsx</x:v>
      </x:c>
      <x:c r="L23" s="6" t="str">
        <x:v>Data_Input</x:v>
      </x:c>
    </x:row>
    <x:row r="24">
      <x:c r="A24" s="6" t="str">
        <x:v>deepseek</x:v>
      </x:c>
      <x:c r="B24" s="6" t="str">
        <x:v>(d)</x:v>
      </x:c>
      <x:c r="C24" s="6" t="str">
        <x:v>DeepSeek-VL-7B-chat</x:v>
      </x:c>
      <x:c r="D24" s="20" t="n">
        <x:v>500</x:v>
      </x:c>
      <x:c r="E24" s="18" t="n">
        <x:v>2.2</x:v>
      </x:c>
      <x:c r="F24" s="18" t="n">
        <x:v>0.48</x:v>
      </x:c>
      <x:c r="G24" s="18" t="n">
        <x:v>21.44</x:v>
      </x:c>
      <x:c r="H24" s="18" t="n">
        <x:v>0.36</x:v>
      </x:c>
      <x:c r="I24" s="21" t="n">
        <x:f>ROUND(G24-E24,2)</x:f>
        <x:v>19.24</x:v>
      </x:c>
      <x:c r="J24" s="6" t="str">
        <x:v>%</x:v>
      </x:c>
      <x:c r="K24" s="6" t="str">
        <x:v>dci抑制下降.xlsx</x:v>
      </x:c>
      <x:c r="L24" s="6" t="str">
        <x:v>Data_Input</x:v>
      </x:c>
    </x:row>
    <x:row r="25">
      <x:c r="A25" s="6" t="str">
        <x:v>deepseek</x:v>
      </x:c>
      <x:c r="B25" s="6" t="str">
        <x:v>(d)</x:v>
      </x:c>
      <x:c r="C25" s="6" t="str">
        <x:v>DeepSeek-VL-7B-chat</x:v>
      </x:c>
      <x:c r="D25" s="20" t="n">
        <x:v>1000</x:v>
      </x:c>
      <x:c r="E25" s="18" t="n">
        <x:v>0.5</x:v>
      </x:c>
      <x:c r="F25" s="18" t="n">
        <x:v>0.33</x:v>
      </x:c>
      <x:c r="G25" s="18" t="n">
        <x:v>19.04</x:v>
      </x:c>
      <x:c r="H25" s="18" t="n">
        <x:v>0.4</x:v>
      </x:c>
      <x:c r="I25" s="21" t="n">
        <x:f>ROUND(G25-E25,2)</x:f>
        <x:v>18.54</x:v>
      </x:c>
      <x:c r="J25" s="6" t="str">
        <x:v>%</x:v>
      </x:c>
      <x:c r="K25" s="6" t="str">
        <x:v>dci抑制下降.xlsx</x:v>
      </x:c>
      <x:c r="L25" s="6" t="str">
        <x:v>Data_Input</x:v>
      </x:c>
    </x:row>
    <x:row r="26">
      <x:c r="A26" s="6" t="str">
        <x:v>kimi</x:v>
      </x:c>
      <x:c r="B26" s="6" t="str">
        <x:v>(e)</x:v>
      </x:c>
      <x:c r="C26" s="6" t="str">
        <x:v>Kimi-VL-A3B-Instruct</x:v>
      </x:c>
      <x:c r="D26" s="20" t="n">
        <x:v>10</x:v>
      </x:c>
      <x:c r="E26" s="18" t="n">
        <x:v>94.28</x:v>
      </x:c>
      <x:c r="F26" s="18" t="n">
        <x:v>1.83</x:v>
      </x:c>
      <x:c r="G26" s="18" t="n">
        <x:f>'Kimi N10 Update'!H2</x:f>
        <x:v>93.16</x:v>
      </x:c>
      <x:c r="H26" s="18" t="n">
        <x:v>1.72</x:v>
      </x:c>
      <x:c r="I26" s="21" t="n">
        <x:f>ROUND(G26-E26,2)</x:f>
        <x:v>-1.12</x:v>
      </x:c>
      <x:c r="J26" s="6" t="str">
        <x:v>%</x:v>
      </x:c>
      <x:c r="K26" s="6" t="str">
        <x:v>dci抑制下降.xlsx</x:v>
      </x:c>
      <x:c r="L26" s="6" t="str">
        <x:v>Data_Input</x:v>
      </x:c>
    </x:row>
    <x:row r="27">
      <x:c r="A27" s="6" t="str">
        <x:v>kimi</x:v>
      </x:c>
      <x:c r="B27" s="6" t="str">
        <x:v>(e)</x:v>
      </x:c>
      <x:c r="C27" s="6" t="str">
        <x:v>Kimi-VL-A3B-Instruct</x:v>
      </x:c>
      <x:c r="D27" s="20" t="n">
        <x:v>20</x:v>
      </x:c>
      <x:c r="E27" s="18" t="n">
        <x:v>87.7</x:v>
      </x:c>
      <x:c r="F27" s="18" t="n">
        <x:v>1.62</x:v>
      </x:c>
      <x:c r="G27" s="18" t="n">
        <x:v>83.86</x:v>
      </x:c>
      <x:c r="H27" s="18" t="n">
        <x:v>1.28</x:v>
      </x:c>
      <x:c r="I27" s="21" t="n">
        <x:f>ROUND(G27-E27,2)</x:f>
        <x:v>-3.84</x:v>
      </x:c>
      <x:c r="J27" s="6" t="str">
        <x:v>%</x:v>
      </x:c>
      <x:c r="K27" s="6" t="str">
        <x:v>dci抑制下降.xlsx</x:v>
      </x:c>
      <x:c r="L27" s="6" t="str">
        <x:v>Data_Input</x:v>
      </x:c>
    </x:row>
    <x:row r="28">
      <x:c r="A28" s="6" t="str">
        <x:v>kimi</x:v>
      </x:c>
      <x:c r="B28" s="6" t="str">
        <x:v>(e)</x:v>
      </x:c>
      <x:c r="C28" s="6" t="str">
        <x:v>Kimi-VL-A3B-Instruct</x:v>
      </x:c>
      <x:c r="D28" s="20" t="n">
        <x:v>100</x:v>
      </x:c>
      <x:c r="E28" s="18" t="n">
        <x:v>63.72</x:v>
      </x:c>
      <x:c r="F28" s="18" t="n">
        <x:v>1.33</x:v>
      </x:c>
      <x:c r="G28" s="18" t="n">
        <x:v>65.75</x:v>
      </x:c>
      <x:c r="H28" s="18" t="n">
        <x:v>1.14</x:v>
      </x:c>
      <x:c r="I28" s="21" t="n">
        <x:f>ROUND(G28-E28,2)</x:f>
        <x:v>2.03</x:v>
      </x:c>
      <x:c r="J28" s="6" t="str">
        <x:v>%</x:v>
      </x:c>
      <x:c r="K28" s="6" t="str">
        <x:v>dci抑制下降.xlsx</x:v>
      </x:c>
      <x:c r="L28" s="6" t="str">
        <x:v>Data_Input</x:v>
      </x:c>
    </x:row>
    <x:row r="29">
      <x:c r="A29" s="6" t="str">
        <x:v>kimi</x:v>
      </x:c>
      <x:c r="B29" s="6" t="str">
        <x:v>(e)</x:v>
      </x:c>
      <x:c r="C29" s="6" t="str">
        <x:v>Kimi-VL-A3B-Instruct</x:v>
      </x:c>
      <x:c r="D29" s="20" t="n">
        <x:v>200</x:v>
      </x:c>
      <x:c r="E29" s="18" t="n">
        <x:v>52.53</x:v>
      </x:c>
      <x:c r="F29" s="18" t="n">
        <x:v>0.99</x:v>
      </x:c>
      <x:c r="G29" s="18" t="n">
        <x:v>56.7</x:v>
      </x:c>
      <x:c r="H29" s="18" t="n">
        <x:v>0.92</x:v>
      </x:c>
      <x:c r="I29" s="21" t="n">
        <x:f>ROUND(G29-E29,2)</x:f>
        <x:v>4.17</x:v>
      </x:c>
      <x:c r="J29" s="6" t="str">
        <x:v>%</x:v>
      </x:c>
      <x:c r="K29" s="6" t="str">
        <x:v>dci抑制下降.xlsx</x:v>
      </x:c>
      <x:c r="L29" s="6" t="str">
        <x:v>Data_Input</x:v>
      </x:c>
    </x:row>
    <x:row r="30">
      <x:c r="A30" s="6" t="str">
        <x:v>kimi</x:v>
      </x:c>
      <x:c r="B30" s="6" t="str">
        <x:v>(e)</x:v>
      </x:c>
      <x:c r="C30" s="6" t="str">
        <x:v>Kimi-VL-A3B-Instruct</x:v>
      </x:c>
      <x:c r="D30" s="20" t="n">
        <x:v>500</x:v>
      </x:c>
      <x:c r="E30" s="18" t="n">
        <x:v>40.72</x:v>
      </x:c>
      <x:c r="F30" s="18" t="n">
        <x:v>0.47</x:v>
      </x:c>
      <x:c r="G30" s="18" t="n">
        <x:v>46.39</x:v>
      </x:c>
      <x:c r="H30" s="18" t="n">
        <x:v>0.29</x:v>
      </x:c>
      <x:c r="I30" s="21" t="n">
        <x:f>ROUND(G30-E30,2)</x:f>
        <x:v>5.67</x:v>
      </x:c>
      <x:c r="J30" s="6" t="str">
        <x:v>%</x:v>
      </x:c>
      <x:c r="K30" s="6" t="str">
        <x:v>dci抑制下降.xlsx</x:v>
      </x:c>
      <x:c r="L30" s="6" t="str">
        <x:v>Data_Input</x:v>
      </x:c>
    </x:row>
    <x:row r="31">
      <x:c r="A31" s="6" t="str">
        <x:v>kimi</x:v>
      </x:c>
      <x:c r="B31" s="6" t="str">
        <x:v>(e)</x:v>
      </x:c>
      <x:c r="C31" s="6" t="str">
        <x:v>Kimi-VL-A3B-Instruct</x:v>
      </x:c>
      <x:c r="D31" s="20" t="n">
        <x:v>1000</x:v>
      </x:c>
      <x:c r="E31" s="18" t="n">
        <x:v>35.69</x:v>
      </x:c>
      <x:c r="F31" s="18" t="n">
        <x:v>0.26</x:v>
      </x:c>
      <x:c r="G31" s="18" t="n">
        <x:v>42.27</x:v>
      </x:c>
      <x:c r="H31" s="18" t="n">
        <x:v>0.27</x:v>
      </x:c>
      <x:c r="I31" s="21" t="n">
        <x:f>ROUND(G31-E31,2)</x:f>
        <x:v>6.58</x:v>
      </x:c>
      <x:c r="J31" s="6" t="str">
        <x:v>%</x:v>
      </x:c>
      <x:c r="K31" s="6" t="str">
        <x:v>dci抑制下降.xlsx</x:v>
      </x:c>
      <x:c r="L31" s="6" t="str">
        <x:v>Data_Input</x:v>
      </x:c>
    </x:row>
    <x:row r="32">
      <x:c r="A32" s="6" t="str">
        <x:v>gemma4</x:v>
      </x:c>
      <x:c r="B32" s="6" t="str">
        <x:v>(f)</x:v>
      </x:c>
      <x:c r="C32" s="6" t="str">
        <x:v>Gemma-4-E4B</x:v>
      </x:c>
      <x:c r="D32" s="20" t="n">
        <x:v>10</x:v>
      </x:c>
      <x:c r="E32" s="18" t="n">
        <x:v>88.76</x:v>
      </x:c>
      <x:c r="F32" s="18" t="n">
        <x:v>1.95</x:v>
      </x:c>
      <x:c r="G32" s="18" t="n">
        <x:v>87.48</x:v>
      </x:c>
      <x:c r="H32" s="18" t="n">
        <x:v>1.91</x:v>
      </x:c>
      <x:c r="I32" s="21" t="n">
        <x:f>ROUND(G32-E32,2)</x:f>
        <x:v>-1.28</x:v>
      </x:c>
      <x:c r="J32" s="6" t="str">
        <x:v>%</x:v>
      </x:c>
      <x:c r="K32" s="6" t="str">
        <x:v>dci抑制下降.xlsx</x:v>
      </x:c>
      <x:c r="L32" s="6" t="str">
        <x:v>Data_Input</x:v>
      </x:c>
    </x:row>
    <x:row r="33">
      <x:c r="A33" s="6" t="str">
        <x:v>gemma4</x:v>
      </x:c>
      <x:c r="B33" s="6" t="str">
        <x:v>(f)</x:v>
      </x:c>
      <x:c r="C33" s="6" t="str">
        <x:v>Gemma-4-E4B</x:v>
      </x:c>
      <x:c r="D33" s="20" t="n">
        <x:v>20</x:v>
      </x:c>
      <x:c r="E33" s="18" t="n">
        <x:v>82.16</x:v>
      </x:c>
      <x:c r="F33" s="18" t="n">
        <x:v>1.51</x:v>
      </x:c>
      <x:c r="G33" s="18" t="n">
        <x:v>80.16</x:v>
      </x:c>
      <x:c r="H33" s="18" t="n">
        <x:v>1.65</x:v>
      </x:c>
      <x:c r="I33" s="21" t="n">
        <x:f>ROUND(G33-E33,2)</x:f>
        <x:v>-2</x:v>
      </x:c>
      <x:c r="J33" s="6" t="str">
        <x:v>%</x:v>
      </x:c>
      <x:c r="K33" s="6" t="str">
        <x:v>dci抑制下降.xlsx</x:v>
      </x:c>
      <x:c r="L33" s="6" t="str">
        <x:v>Data_Input</x:v>
      </x:c>
    </x:row>
    <x:row r="34">
      <x:c r="A34" s="6" t="str">
        <x:v>gemma4</x:v>
      </x:c>
      <x:c r="B34" s="6" t="str">
        <x:v>(f)</x:v>
      </x:c>
      <x:c r="C34" s="6" t="str">
        <x:v>Gemma-4-E4B</x:v>
      </x:c>
      <x:c r="D34" s="20" t="n">
        <x:v>100</x:v>
      </x:c>
      <x:c r="E34" s="18" t="n">
        <x:v>68.64</x:v>
      </x:c>
      <x:c r="F34" s="18" t="n">
        <x:v>1.12</x:v>
      </x:c>
      <x:c r="G34" s="18" t="n">
        <x:v>65.52</x:v>
      </x:c>
      <x:c r="H34" s="18" t="n">
        <x:v>1.32</x:v>
      </x:c>
      <x:c r="I34" s="21" t="n">
        <x:f>ROUND(G34-E34,2)</x:f>
        <x:v>-3.12</x:v>
      </x:c>
      <x:c r="J34" s="6" t="str">
        <x:v>%</x:v>
      </x:c>
      <x:c r="K34" s="6" t="str">
        <x:v>dci抑制下降.xlsx</x:v>
      </x:c>
      <x:c r="L34" s="6" t="str">
        <x:v>Data_Input</x:v>
      </x:c>
    </x:row>
    <x:row r="35">
      <x:c r="A35" s="6" t="str">
        <x:v>gemma4</x:v>
      </x:c>
      <x:c r="B35" s="6" t="str">
        <x:v>(f)</x:v>
      </x:c>
      <x:c r="C35" s="6" t="str">
        <x:v>Gemma-4-E4B</x:v>
      </x:c>
      <x:c r="D35" s="20" t="n">
        <x:v>200</x:v>
      </x:c>
      <x:c r="E35" s="18" t="n">
        <x:v>58.62</x:v>
      </x:c>
      <x:c r="F35" s="18" t="n">
        <x:v>0.8</x:v>
      </x:c>
      <x:c r="G35" s="18" t="n">
        <x:v>56.81</x:v>
      </x:c>
      <x:c r="H35" s="18" t="n">
        <x:v>0.86</x:v>
      </x:c>
      <x:c r="I35" s="21" t="n">
        <x:f>ROUND(G35-E35,2)</x:f>
        <x:v>-1.81</x:v>
      </x:c>
      <x:c r="J35" s="6" t="str">
        <x:v>%</x:v>
      </x:c>
      <x:c r="K35" s="6" t="str">
        <x:v>dci抑制下降.xlsx</x:v>
      </x:c>
      <x:c r="L35" s="6" t="str">
        <x:v>Data_Input</x:v>
      </x:c>
    </x:row>
    <x:row r="36">
      <x:c r="A36" s="6" t="str">
        <x:v>gemma4</x:v>
      </x:c>
      <x:c r="B36" s="6" t="str">
        <x:v>(f)</x:v>
      </x:c>
      <x:c r="C36" s="6" t="str">
        <x:v>Gemma-4-E4B</x:v>
      </x:c>
      <x:c r="D36" s="20" t="n">
        <x:v>500</x:v>
      </x:c>
      <x:c r="E36" s="18" t="n">
        <x:v>41.88</x:v>
      </x:c>
      <x:c r="F36" s="18" t="n">
        <x:v>0.23</x:v>
      </x:c>
      <x:c r="G36" s="18" t="n">
        <x:v>43.79</x:v>
      </x:c>
      <x:c r="H36" s="18" t="n">
        <x:v>0.36</x:v>
      </x:c>
      <x:c r="I36" s="21" t="n">
        <x:f>ROUND(G36-E36,2)</x:f>
        <x:v>1.91</x:v>
      </x:c>
      <x:c r="J36" s="6" t="str">
        <x:v>%</x:v>
      </x:c>
      <x:c r="K36" s="6" t="str">
        <x:v>dci抑制下降.xlsx</x:v>
      </x:c>
      <x:c r="L36" s="6" t="str">
        <x:v>Data_Input</x:v>
      </x:c>
    </x:row>
    <x:row r="37">
      <x:c r="A37" s="6" t="str">
        <x:v>gemma4</x:v>
      </x:c>
      <x:c r="B37" s="6" t="str">
        <x:v>(f)</x:v>
      </x:c>
      <x:c r="C37" s="6" t="str">
        <x:v>Gemma-4-E4B</x:v>
      </x:c>
      <x:c r="D37" s="20" t="n">
        <x:v>1000</x:v>
      </x:c>
      <x:c r="E37" s="18" t="n">
        <x:v>31.46</x:v>
      </x:c>
      <x:c r="F37" s="18" t="n">
        <x:v>0.29</x:v>
      </x:c>
      <x:c r="G37" s="18" t="n">
        <x:v>36.67</x:v>
      </x:c>
      <x:c r="H37" s="18" t="n">
        <x:v>0.26</x:v>
      </x:c>
      <x:c r="I37" s="21" t="n">
        <x:f>ROUND(G37-E37,2)</x:f>
        <x:v>5.21</x:v>
      </x:c>
      <x:c r="J37" s="6" t="str">
        <x:v>%</x:v>
      </x:c>
      <x:c r="K37" s="6" t="str">
        <x:v>dci抑制下降.xlsx</x:v>
      </x:c>
      <x:c r="L37" s="6" t="str">
        <x:v>Data_Input</x:v>
      </x:c>
    </x:row>
  </x:sheetData>
  <x:pageMargins left="0.7" right="0.7" top="0.75" bottom="0.75" header="0.3" footer="0.3"/>
  <x:tableParts count="1">
    <x:tablePart xmlns:r="http://schemas.openxmlformats.org/officeDocument/2006/relationships" r:id="R770a84d68fc1477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12" hidden="0" customWidth="1"/>
    <x:col min="4" max="4" width="12" hidden="0" customWidth="1"/>
    <x:col min="5" max="5" width="32" hidden="0" customWidth="1"/>
    <x:col min="6" max="6" width="25" hidden="0" customWidth="1"/>
    <x:col min="7" max="7" width="25" hidden="0" customWidth="1"/>
  </x:cols>
  <x:sheetData>
    <x:row r="1" ht="32" customHeight="1">
      <x:c r="A1" s="14" t="str">
        <x:v>Model</x:v>
      </x:c>
      <x:c r="B1" s="19" t="str">
        <x:v>Candidate Classes N</x:v>
      </x:c>
      <x:c r="C1" s="17" t="str">
        <x:v>Mean R_N</x:v>
      </x:c>
      <x:c r="D1" s="17" t="str">
        <x:v>SD R_N</x:v>
      </x:c>
      <x:c r="E1" s="15" t="str">
        <x:v>Unit</x:v>
      </x:c>
      <x:c r="F1" s="15" t="str">
        <x:v>Source Workbook</x:v>
      </x:c>
      <x:c r="G1" s="16" t="str">
        <x:v>Authority Sheet</x:v>
      </x:c>
    </x:row>
    <x:row r="2">
      <x:c r="A2" s="6" t="str">
        <x:v>Qwen3-VL-2B-Instruct</x:v>
      </x:c>
      <x:c r="B2" s="20" t="n">
        <x:v>20</x:v>
      </x:c>
      <x:c r="C2" s="23" t="n">
        <x:v>0.9873</x:v>
      </x:c>
      <x:c r="D2" s="23" t="n">
        <x:v>0.0051</x:v>
      </x:c>
      <x:c r="E2" s="6" t="str">
        <x:v>proportion (displayed as %)</x:v>
      </x:c>
      <x:c r="F2" s="6" t="str">
        <x:v>信息熵.xlsx</x:v>
      </x:c>
      <x:c r="G2" s="6" t="str">
        <x:v>提取数据</x:v>
      </x:c>
    </x:row>
    <x:row r="3">
      <x:c r="A3" s="6" t="str">
        <x:v>Qwen3-VL-8B-Instruct</x:v>
      </x:c>
      <x:c r="B3" s="20" t="n">
        <x:v>20</x:v>
      </x:c>
      <x:c r="C3" s="23" t="n">
        <x:v>0.9693</x:v>
      </x:c>
      <x:c r="D3" s="23" t="n">
        <x:v>0.0049</x:v>
      </x:c>
      <x:c r="E3" s="6" t="str">
        <x:v>proportion (displayed as %)</x:v>
      </x:c>
      <x:c r="F3" s="6" t="str">
        <x:v>信息熵.xlsx</x:v>
      </x:c>
      <x:c r="G3" s="6" t="str">
        <x:v>提取数据</x:v>
      </x:c>
    </x:row>
    <x:row r="4">
      <x:c r="A4" s="6" t="str">
        <x:v>Gemma-3-4B-IT</x:v>
      </x:c>
      <x:c r="B4" s="20" t="n">
        <x:v>20</x:v>
      </x:c>
      <x:c r="C4" s="23" t="n">
        <x:v>0.9781</x:v>
      </x:c>
      <x:c r="D4" s="23" t="n">
        <x:v>0.0097</x:v>
      </x:c>
      <x:c r="E4" s="6" t="str">
        <x:v>proportion (displayed as %)</x:v>
      </x:c>
      <x:c r="F4" s="6" t="str">
        <x:v>信息熵.xlsx</x:v>
      </x:c>
      <x:c r="G4" s="6" t="str">
        <x:v>提取数据</x:v>
      </x:c>
    </x:row>
    <x:row r="5">
      <x:c r="A5" s="6" t="str">
        <x:v>Kimi-VL-A3B-Instruct</x:v>
      </x:c>
      <x:c r="B5" s="20" t="n">
        <x:v>20</x:v>
      </x:c>
      <x:c r="C5" s="23" t="n">
        <x:v>0.9465</x:v>
      </x:c>
      <x:c r="D5" s="23" t="n">
        <x:v>0.0075</x:v>
      </x:c>
      <x:c r="E5" s="6" t="str">
        <x:v>proportion (displayed as %)</x:v>
      </x:c>
      <x:c r="F5" s="6" t="str">
        <x:v>信息熵.xlsx</x:v>
      </x:c>
      <x:c r="G5" s="6" t="str">
        <x:v>提取数据</x:v>
      </x:c>
    </x:row>
    <x:row r="6">
      <x:c r="A6" s="6" t="str">
        <x:v>Qwen3-VL-2B-Instruct</x:v>
      </x:c>
      <x:c r="B6" s="20" t="n">
        <x:v>50</x:v>
      </x:c>
      <x:c r="C6" s="23" t="n">
        <x:v>0.9361</x:v>
      </x:c>
      <x:c r="D6" s="23" t="n">
        <x:v>0.0064</x:v>
      </x:c>
      <x:c r="E6" s="6" t="str">
        <x:v>proportion (displayed as %)</x:v>
      </x:c>
      <x:c r="F6" s="6" t="str">
        <x:v>信息熵.xlsx</x:v>
      </x:c>
      <x:c r="G6" s="6" t="str">
        <x:v>提取数据</x:v>
      </x:c>
    </x:row>
    <x:row r="7">
      <x:c r="A7" s="6" t="str">
        <x:v>Qwen3-VL-8B-Instruct</x:v>
      </x:c>
      <x:c r="B7" s="20" t="n">
        <x:v>50</x:v>
      </x:c>
      <x:c r="C7" s="23" t="n">
        <x:v>0.9671</x:v>
      </x:c>
      <x:c r="D7" s="23" t="n">
        <x:v>0.0084</x:v>
      </x:c>
      <x:c r="E7" s="6" t="str">
        <x:v>proportion (displayed as %)</x:v>
      </x:c>
      <x:c r="F7" s="6" t="str">
        <x:v>信息熵.xlsx</x:v>
      </x:c>
      <x:c r="G7" s="6" t="str">
        <x:v>提取数据</x:v>
      </x:c>
    </x:row>
    <x:row r="8">
      <x:c r="A8" s="6" t="str">
        <x:v>Gemma-3-4B-IT</x:v>
      </x:c>
      <x:c r="B8" s="20" t="n">
        <x:v>50</x:v>
      </x:c>
      <x:c r="C8" s="23" t="n">
        <x:v>0.9328</x:v>
      </x:c>
      <x:c r="D8" s="23" t="n">
        <x:v>0.0057</x:v>
      </x:c>
      <x:c r="E8" s="6" t="str">
        <x:v>proportion (displayed as %)</x:v>
      </x:c>
      <x:c r="F8" s="6" t="str">
        <x:v>信息熵.xlsx</x:v>
      </x:c>
      <x:c r="G8" s="6" t="str">
        <x:v>提取数据</x:v>
      </x:c>
    </x:row>
    <x:row r="9">
      <x:c r="A9" s="6" t="str">
        <x:v>Kimi-VL-A3B-Instruct</x:v>
      </x:c>
      <x:c r="B9" s="20" t="n">
        <x:v>50</x:v>
      </x:c>
      <x:c r="C9" s="23" t="n">
        <x:v>0.9316</x:v>
      </x:c>
      <x:c r="D9" s="23" t="n">
        <x:v>0.0073</x:v>
      </x:c>
      <x:c r="E9" s="6" t="str">
        <x:v>proportion (displayed as %)</x:v>
      </x:c>
      <x:c r="F9" s="6" t="str">
        <x:v>信息熵.xlsx</x:v>
      </x:c>
      <x:c r="G9" s="6" t="str">
        <x:v>提取数据</x:v>
      </x:c>
    </x:row>
    <x:row r="10">
      <x:c r="A10" s="6" t="str">
        <x:v>Qwen3-VL-2B-Instruct</x:v>
      </x:c>
      <x:c r="B10" s="20" t="n">
        <x:v>100</x:v>
      </x:c>
      <x:c r="C10" s="23" t="n">
        <x:v>0.9138</x:v>
      </x:c>
      <x:c r="D10" s="23" t="n">
        <x:v>0.0046</x:v>
      </x:c>
      <x:c r="E10" s="6" t="str">
        <x:v>proportion (displayed as %)</x:v>
      </x:c>
      <x:c r="F10" s="6" t="str">
        <x:v>信息熵.xlsx</x:v>
      </x:c>
      <x:c r="G10" s="6" t="str">
        <x:v>提取数据</x:v>
      </x:c>
    </x:row>
    <x:row r="11">
      <x:c r="A11" s="6" t="str">
        <x:v>Qwen3-VL-8B-Instruct</x:v>
      </x:c>
      <x:c r="B11" s="20" t="n">
        <x:v>100</x:v>
      </x:c>
      <x:c r="C11" s="23" t="n">
        <x:v>0.9432</x:v>
      </x:c>
      <x:c r="D11" s="23" t="n">
        <x:v>0.0067</x:v>
      </x:c>
      <x:c r="E11" s="6" t="str">
        <x:v>proportion (displayed as %)</x:v>
      </x:c>
      <x:c r="F11" s="6" t="str">
        <x:v>信息熵.xlsx</x:v>
      </x:c>
      <x:c r="G11" s="6" t="str">
        <x:v>提取数据</x:v>
      </x:c>
    </x:row>
    <x:row r="12">
      <x:c r="A12" s="6" t="str">
        <x:v>Gemma-3-4B-IT</x:v>
      </x:c>
      <x:c r="B12" s="20" t="n">
        <x:v>100</x:v>
      </x:c>
      <x:c r="C12" s="23" t="n">
        <x:v>0.8877</x:v>
      </x:c>
      <x:c r="D12" s="23" t="n">
        <x:v>0.0079</x:v>
      </x:c>
      <x:c r="E12" s="6" t="str">
        <x:v>proportion (displayed as %)</x:v>
      </x:c>
      <x:c r="F12" s="6" t="str">
        <x:v>信息熵.xlsx</x:v>
      </x:c>
      <x:c r="G12" s="6" t="str">
        <x:v>提取数据</x:v>
      </x:c>
    </x:row>
    <x:row r="13">
      <x:c r="A13" s="6" t="str">
        <x:v>Kimi-VL-A3B-Instruct</x:v>
      </x:c>
      <x:c r="B13" s="20" t="n">
        <x:v>100</x:v>
      </x:c>
      <x:c r="C13" s="23" t="n">
        <x:v>0.9248</x:v>
      </x:c>
      <x:c r="D13" s="23" t="n">
        <x:v>0.0088</x:v>
      </x:c>
      <x:c r="E13" s="6" t="str">
        <x:v>proportion (displayed as %)</x:v>
      </x:c>
      <x:c r="F13" s="6" t="str">
        <x:v>信息熵.xlsx</x:v>
      </x:c>
      <x:c r="G13" s="6" t="str">
        <x:v>提取数据</x:v>
      </x:c>
    </x:row>
    <x:row r="14">
      <x:c r="A14" s="6" t="str">
        <x:v>Qwen3-VL-2B-Instruct</x:v>
      </x:c>
      <x:c r="B14" s="20" t="n">
        <x:v>200</x:v>
      </x:c>
      <x:c r="C14" s="23" t="n">
        <x:v>0.8814</x:v>
      </x:c>
      <x:c r="D14" s="23" t="n">
        <x:v>0.0035</x:v>
      </x:c>
      <x:c r="E14" s="6" t="str">
        <x:v>proportion (displayed as %)</x:v>
      </x:c>
      <x:c r="F14" s="6" t="str">
        <x:v>信息熵.xlsx</x:v>
      </x:c>
      <x:c r="G14" s="6" t="str">
        <x:v>提取数据</x:v>
      </x:c>
    </x:row>
    <x:row r="15">
      <x:c r="A15" s="6" t="str">
        <x:v>Qwen3-VL-8B-Instruct</x:v>
      </x:c>
      <x:c r="B15" s="20" t="n">
        <x:v>200</x:v>
      </x:c>
      <x:c r="C15" s="23" t="n">
        <x:v>0.9186</x:v>
      </x:c>
      <x:c r="D15" s="23" t="n">
        <x:v>0.0069</x:v>
      </x:c>
      <x:c r="E15" s="6" t="str">
        <x:v>proportion (displayed as %)</x:v>
      </x:c>
      <x:c r="F15" s="6" t="str">
        <x:v>信息熵.xlsx</x:v>
      </x:c>
      <x:c r="G15" s="6" t="str">
        <x:v>提取数据</x:v>
      </x:c>
    </x:row>
    <x:row r="16">
      <x:c r="A16" s="6" t="str">
        <x:v>Gemma-3-4B-IT</x:v>
      </x:c>
      <x:c r="B16" s="20" t="n">
        <x:v>200</x:v>
      </x:c>
      <x:c r="C16" s="23" t="n">
        <x:v>0.8397</x:v>
      </x:c>
      <x:c r="D16" s="23" t="n">
        <x:v>0.0054</x:v>
      </x:c>
      <x:c r="E16" s="6" t="str">
        <x:v>proportion (displayed as %)</x:v>
      </x:c>
      <x:c r="F16" s="6" t="str">
        <x:v>信息熵.xlsx</x:v>
      </x:c>
      <x:c r="G16" s="6" t="str">
        <x:v>提取数据</x:v>
      </x:c>
    </x:row>
    <x:row r="17">
      <x:c r="A17" s="6" t="str">
        <x:v>Kimi-VL-A3B-Instruct</x:v>
      </x:c>
      <x:c r="B17" s="20" t="n">
        <x:v>200</x:v>
      </x:c>
      <x:c r="C17" s="23" t="n">
        <x:v>0.9186</x:v>
      </x:c>
      <x:c r="D17" s="23" t="n">
        <x:v>0.0052</x:v>
      </x:c>
      <x:c r="E17" s="6" t="str">
        <x:v>proportion (displayed as %)</x:v>
      </x:c>
      <x:c r="F17" s="6" t="str">
        <x:v>信息熵.xlsx</x:v>
      </x:c>
      <x:c r="G17" s="6" t="str">
        <x:v>提取数据</x:v>
      </x:c>
    </x:row>
    <x:row r="18">
      <x:c r="A18" s="6" t="str">
        <x:v>Qwen3-VL-2B-Instruct</x:v>
      </x:c>
      <x:c r="B18" s="20" t="n">
        <x:v>500</x:v>
      </x:c>
      <x:c r="C18" s="23" t="n">
        <x:v>0.8137</x:v>
      </x:c>
      <x:c r="D18" s="23" t="n">
        <x:v>0.0094</x:v>
      </x:c>
      <x:c r="E18" s="6" t="str">
        <x:v>proportion (displayed as %)</x:v>
      </x:c>
      <x:c r="F18" s="6" t="str">
        <x:v>信息熵.xlsx</x:v>
      </x:c>
      <x:c r="G18" s="6" t="str">
        <x:v>提取数据</x:v>
      </x:c>
    </x:row>
    <x:row r="19">
      <x:c r="A19" s="6" t="str">
        <x:v>Qwen3-VL-8B-Instruct</x:v>
      </x:c>
      <x:c r="B19" s="20" t="n">
        <x:v>500</x:v>
      </x:c>
      <x:c r="C19" s="23" t="n">
        <x:v>0.8767</x:v>
      </x:c>
      <x:c r="D19" s="23" t="n">
        <x:v>0.0054</x:v>
      </x:c>
      <x:c r="E19" s="6" t="str">
        <x:v>proportion (displayed as %)</x:v>
      </x:c>
      <x:c r="F19" s="6" t="str">
        <x:v>信息熵.xlsx</x:v>
      </x:c>
      <x:c r="G19" s="6" t="str">
        <x:v>提取数据</x:v>
      </x:c>
    </x:row>
    <x:row r="20">
      <x:c r="A20" s="6" t="str">
        <x:v>Gemma-3-4B-IT</x:v>
      </x:c>
      <x:c r="B20" s="20" t="n">
        <x:v>500</x:v>
      </x:c>
      <x:c r="C20" s="23" t="n">
        <x:v>0.7799</x:v>
      </x:c>
      <x:c r="D20" s="23" t="n">
        <x:v>0.0066</x:v>
      </x:c>
      <x:c r="E20" s="6" t="str">
        <x:v>proportion (displayed as %)</x:v>
      </x:c>
      <x:c r="F20" s="6" t="str">
        <x:v>信息熵.xlsx</x:v>
      </x:c>
      <x:c r="G20" s="6" t="str">
        <x:v>提取数据</x:v>
      </x:c>
    </x:row>
    <x:row r="21">
      <x:c r="A21" s="6" t="str">
        <x:v>Kimi-VL-A3B-Instruct</x:v>
      </x:c>
      <x:c r="B21" s="20" t="n">
        <x:v>500</x:v>
      </x:c>
      <x:c r="C21" s="23" t="n">
        <x:v>0.8345</x:v>
      </x:c>
      <x:c r="D21" s="23" t="n">
        <x:v>0.0059</x:v>
      </x:c>
      <x:c r="E21" s="6" t="str">
        <x:v>proportion (displayed as %)</x:v>
      </x:c>
      <x:c r="F21" s="6" t="str">
        <x:v>信息熵.xlsx</x:v>
      </x:c>
      <x:c r="G21" s="6" t="str">
        <x:v>提取数据</x:v>
      </x:c>
    </x:row>
    <x:row r="22">
      <x:c r="A22" s="6" t="str">
        <x:v>Qwen3-VL-2B-Instruct</x:v>
      </x:c>
      <x:c r="B22" s="20" t="n">
        <x:v>1000</x:v>
      </x:c>
      <x:c r="C22" s="23" t="n">
        <x:v>0.7518</x:v>
      </x:c>
      <x:c r="D22" s="23" t="n">
        <x:v>0.0043</x:v>
      </x:c>
      <x:c r="E22" s="6" t="str">
        <x:v>proportion (displayed as %)</x:v>
      </x:c>
      <x:c r="F22" s="6" t="str">
        <x:v>信息熵.xlsx</x:v>
      </x:c>
      <x:c r="G22" s="6" t="str">
        <x:v>提取数据</x:v>
      </x:c>
    </x:row>
    <x:row r="23">
      <x:c r="A23" s="6" t="str">
        <x:v>Qwen3-VL-8B-Instruct</x:v>
      </x:c>
      <x:c r="B23" s="20" t="n">
        <x:v>1000</x:v>
      </x:c>
      <x:c r="C23" s="23" t="n">
        <x:v>0.8669</x:v>
      </x:c>
      <x:c r="D23" s="23" t="n">
        <x:v>0.0065</x:v>
      </x:c>
      <x:c r="E23" s="6" t="str">
        <x:v>proportion (displayed as %)</x:v>
      </x:c>
      <x:c r="F23" s="6" t="str">
        <x:v>信息熵.xlsx</x:v>
      </x:c>
      <x:c r="G23" s="6" t="str">
        <x:v>提取数据</x:v>
      </x:c>
    </x:row>
    <x:row r="24">
      <x:c r="A24" s="6" t="str">
        <x:v>Gemma-3-4B-IT</x:v>
      </x:c>
      <x:c r="B24" s="20" t="n">
        <x:v>1000</x:v>
      </x:c>
      <x:c r="C24" s="23" t="n">
        <x:v>0.6386</x:v>
      </x:c>
      <x:c r="D24" s="23" t="n">
        <x:v>0.0051</x:v>
      </x:c>
      <x:c r="E24" s="6" t="str">
        <x:v>proportion (displayed as %)</x:v>
      </x:c>
      <x:c r="F24" s="6" t="str">
        <x:v>信息熵.xlsx</x:v>
      </x:c>
      <x:c r="G24" s="6" t="str">
        <x:v>提取数据</x:v>
      </x:c>
    </x:row>
    <x:row r="25">
      <x:c r="A25" s="6" t="str">
        <x:v>Kimi-VL-A3B-Instruct</x:v>
      </x:c>
      <x:c r="B25" s="20" t="n">
        <x:v>1000</x:v>
      </x:c>
      <x:c r="C25" s="23" t="n">
        <x:v>0.8033</x:v>
      </x:c>
      <x:c r="D25" s="23" t="n">
        <x:v>0.0064</x:v>
      </x:c>
      <x:c r="E25" s="6" t="str">
        <x:v>proportion (displayed as %)</x:v>
      </x:c>
      <x:c r="F25" s="6" t="str">
        <x:v>信息熵.xlsx</x:v>
      </x:c>
      <x:c r="G25" s="6" t="str">
        <x:v>提取数据</x:v>
      </x:c>
    </x:row>
  </x:sheetData>
  <x:pageMargins left="0.7" right="0.7" top="0.75" bottom="0.75" header="0.3" footer="0.3"/>
  <x:tableParts count="1">
    <x:tablePart xmlns:r="http://schemas.openxmlformats.org/officeDocument/2006/relationships" r:id="Rf4c3f6694d324dff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25" hidden="0" customWidth="1"/>
    <x:col min="11" max="11" width="25" hidden="0" customWidth="1"/>
  </x:cols>
  <x:sheetData>
    <x:row r="1" ht="32" customHeight="1">
      <x:c r="A1" s="14" t="str">
        <x:v>Deployment</x:v>
      </x:c>
      <x:c r="B1" s="15" t="str">
        <x:v>Model</x:v>
      </x:c>
      <x:c r="C1" s="17" t="str">
        <x:v>Baseline Mean (%)</x:v>
      </x:c>
      <x:c r="D1" s="17" t="str">
        <x:v>Baseline SD (pp)</x:v>
      </x:c>
      <x:c r="E1" s="24" t="str">
        <x:v>Baseline Cost (USD/image)</x:v>
      </x:c>
      <x:c r="F1" s="17" t="str">
        <x:v>DCI Mean (%)</x:v>
      </x:c>
      <x:c r="G1" s="17" t="str">
        <x:v>DCI SD (pp)</x:v>
      </x:c>
      <x:c r="H1" s="24" t="str">
        <x:v>DCI Cost (USD/image)</x:v>
      </x:c>
      <x:c r="I1" s="15" t="str">
        <x:v>Improvement (pp)</x:v>
      </x:c>
      <x:c r="J1" s="15" t="str">
        <x:v>Source Workbook</x:v>
      </x:c>
      <x:c r="K1" s="16" t="str">
        <x:v>Authority Sheet</x:v>
      </x:c>
    </x:row>
    <x:row r="2">
      <x:c r="A2" s="6" t="str">
        <x:v>Local</x:v>
      </x:c>
      <x:c r="B2" s="6" t="str">
        <x:v>Qwen2.5-VL-7B-Instruct</x:v>
      </x:c>
      <x:c r="C2" s="18" t="n">
        <x:v>1.56</x:v>
      </x:c>
      <x:c r="D2" s="18" t="n">
        <x:v>0.32</x:v>
      </x:c>
      <x:c r="E2" s="25"/>
      <x:c r="F2" s="18" t="n">
        <x:v>37.88</x:v>
      </x:c>
      <x:c r="G2" s="18" t="n">
        <x:v>1.75</x:v>
      </x:c>
      <x:c r="H2" s="25"/>
      <x:c r="I2" s="21" t="n">
        <x:f>ROUND(F2-C2,2)</x:f>
        <x:v>36.32</x:v>
      </x:c>
      <x:c r="J2" s="6" t="str">
        <x:v>imagenet21k_dci_主要.xlsx</x:v>
      </x:c>
      <x:c r="K2" s="6" t="str">
        <x:v>Open-Source</x:v>
      </x:c>
    </x:row>
    <x:row r="3">
      <x:c r="A3" s="6" t="str">
        <x:v>Local</x:v>
      </x:c>
      <x:c r="B3" s="6" t="str">
        <x:v>Qwen3-VL-2B-Instruct</x:v>
      </x:c>
      <x:c r="C3" s="18" t="n">
        <x:v>2.12</x:v>
      </x:c>
      <x:c r="D3" s="18" t="n">
        <x:v>0.55</x:v>
      </x:c>
      <x:c r="E3" s="25"/>
      <x:c r="F3" s="18" t="n">
        <x:v>20.14</x:v>
      </x:c>
      <x:c r="G3" s="18" t="n">
        <x:v>1.16</x:v>
      </x:c>
      <x:c r="H3" s="25"/>
      <x:c r="I3" s="21" t="n">
        <x:f>ROUND(F3-C3,2)</x:f>
        <x:v>18.02</x:v>
      </x:c>
      <x:c r="J3" s="6" t="str">
        <x:v>imagenet21k_dci_主要.xlsx</x:v>
      </x:c>
      <x:c r="K3" s="6" t="str">
        <x:v>Open-Source</x:v>
      </x:c>
    </x:row>
    <x:row r="4">
      <x:c r="A4" s="6" t="str">
        <x:v>Local</x:v>
      </x:c>
      <x:c r="B4" s="6" t="str">
        <x:v>Qwen3-VL-4B-Instruct</x:v>
      </x:c>
      <x:c r="C4" s="18" t="n">
        <x:v>2.96</x:v>
      </x:c>
      <x:c r="D4" s="18" t="n">
        <x:v>0.58</x:v>
      </x:c>
      <x:c r="E4" s="25"/>
      <x:c r="F4" s="18" t="n">
        <x:v>33.4</x:v>
      </x:c>
      <x:c r="G4" s="18" t="n">
        <x:v>1.48</x:v>
      </x:c>
      <x:c r="H4" s="25"/>
      <x:c r="I4" s="21" t="n">
        <x:f>ROUND(F4-C4,2)</x:f>
        <x:v>30.44</x:v>
      </x:c>
      <x:c r="J4" s="6" t="str">
        <x:v>imagenet21k_dci_主要.xlsx</x:v>
      </x:c>
      <x:c r="K4" s="6" t="str">
        <x:v>Open-Source</x:v>
      </x:c>
    </x:row>
    <x:row r="5">
      <x:c r="A5" s="6" t="str">
        <x:v>Local</x:v>
      </x:c>
      <x:c r="B5" s="6" t="str">
        <x:v>Qwen3-VL-8B-Instruct</x:v>
      </x:c>
      <x:c r="C5" s="18" t="n">
        <x:v>10.68</x:v>
      </x:c>
      <x:c r="D5" s="18" t="n">
        <x:v>0.96</x:v>
      </x:c>
      <x:c r="E5" s="25"/>
      <x:c r="F5" s="18" t="n">
        <x:v>34.68</x:v>
      </x:c>
      <x:c r="G5" s="18" t="n">
        <x:v>1.68</x:v>
      </x:c>
      <x:c r="H5" s="25"/>
      <x:c r="I5" s="21" t="n">
        <x:f>ROUND(F5-C5,2)</x:f>
        <x:v>24</x:v>
      </x:c>
      <x:c r="J5" s="6" t="str">
        <x:v>imagenet21k_dci_主要.xlsx</x:v>
      </x:c>
      <x:c r="K5" s="6" t="str">
        <x:v>Open-Source</x:v>
      </x:c>
    </x:row>
    <x:row r="6">
      <x:c r="A6" s="6" t="str">
        <x:v>Local</x:v>
      </x:c>
      <x:c r="B6" s="6" t="str">
        <x:v>Gemma-4-E4B</x:v>
      </x:c>
      <x:c r="C6" s="18" t="n">
        <x:v>2.14</x:v>
      </x:c>
      <x:c r="D6" s="18" t="n">
        <x:v>0.32</x:v>
      </x:c>
      <x:c r="E6" s="25"/>
      <x:c r="F6" s="18" t="n">
        <x:v>13.46</x:v>
      </x:c>
      <x:c r="G6" s="18" t="n">
        <x:v>0.65</x:v>
      </x:c>
      <x:c r="H6" s="25"/>
      <x:c r="I6" s="21" t="n">
        <x:f>ROUND(F6-C6,2)</x:f>
        <x:v>11.32</x:v>
      </x:c>
      <x:c r="J6" s="6" t="str">
        <x:v>imagenet21k_dci_主要.xlsx</x:v>
      </x:c>
      <x:c r="K6" s="6" t="str">
        <x:v>Open-Source</x:v>
      </x:c>
    </x:row>
    <x:row r="7">
      <x:c r="A7" s="6" t="str">
        <x:v>API-served</x:v>
      </x:c>
      <x:c r="B7" s="6" t="str">
        <x:v>GPT-4.1</x:v>
      </x:c>
      <x:c r="C7" s="18" t="n">
        <x:v>35.78</x:v>
      </x:c>
      <x:c r="D7" s="18" t="n">
        <x:v>1.89</x:v>
      </x:c>
      <x:c r="E7" s="25" t="n">
        <x:v>0.172126</x:v>
      </x:c>
      <x:c r="F7" s="18" t="n">
        <x:v>45.14</x:v>
      </x:c>
      <x:c r="G7" s="18" t="n">
        <x:v>1.77</x:v>
      </x:c>
      <x:c r="H7" s="25" t="n">
        <x:v>0.3728865</x:v>
      </x:c>
      <x:c r="I7" s="21" t="n">
        <x:f>ROUND(F7-C7,2)</x:f>
        <x:v>9.36</x:v>
      </x:c>
      <x:c r="J7" s="6" t="str">
        <x:v>imagenet21k_dci_主要.xlsx</x:v>
      </x:c>
      <x:c r="K7" s="6" t="str">
        <x:v>API-Served</x:v>
      </x:c>
    </x:row>
    <x:row r="8">
      <x:c r="A8" s="6" t="str">
        <x:v>API-served</x:v>
      </x:c>
      <x:c r="B8" s="6" t="str">
        <x:v>Claude Opus 4.5</x:v>
      </x:c>
      <x:c r="C8" s="18" t="n">
        <x:v>45.88</x:v>
      </x:c>
      <x:c r="D8" s="18" t="n">
        <x:v>2.01</x:v>
      </x:c>
      <x:c r="E8" s="25" t="n">
        <x:v>0.34856505</x:v>
      </x:c>
      <x:c r="F8" s="18" t="n">
        <x:v>62.92</x:v>
      </x:c>
      <x:c r="G8" s="18" t="n">
        <x:v>2.33</x:v>
      </x:c>
      <x:c r="H8" s="25" t="n">
        <x:v>1.32118695</x:v>
      </x:c>
      <x:c r="I8" s="21" t="n">
        <x:f>ROUND(F8-C8,2)</x:f>
        <x:v>17.04</x:v>
      </x:c>
      <x:c r="J8" s="6" t="str">
        <x:v>imagenet21k_dci_主要.xlsx</x:v>
      </x:c>
      <x:c r="K8" s="6" t="str">
        <x:v>API-Served</x:v>
      </x:c>
    </x:row>
    <x:row r="9">
      <x:c r="A9" s="6" t="str">
        <x:v>API-served</x:v>
      </x:c>
      <x:c r="B9" s="6" t="str">
        <x:v>Qwen3-VL-Plus</x:v>
      </x:c>
      <x:c r="C9" s="18" t="n">
        <x:v>36.76</x:v>
      </x:c>
      <x:c r="D9" s="18" t="n">
        <x:v>1.63</x:v>
      </x:c>
      <x:c r="E9" s="25" t="n">
        <x:v>0.012296429</x:v>
      </x:c>
      <x:c r="F9" s="18" t="n">
        <x:v>43.56</x:v>
      </x:c>
      <x:c r="G9" s="18" t="n">
        <x:v>2.1</x:v>
      </x:c>
      <x:c r="H9" s="25" t="n">
        <x:v>0.035938415</x:v>
      </x:c>
      <x:c r="I9" s="21" t="n">
        <x:f>ROUND(F9-C9,2)</x:f>
        <x:v>6.8</x:v>
      </x:c>
      <x:c r="J9" s="6" t="str">
        <x:v>imagenet21k_dci_主要.xlsx</x:v>
      </x:c>
      <x:c r="K9" s="6" t="str">
        <x:v>API-Served</x:v>
      </x:c>
    </x:row>
    <x:row r="10">
      <x:c r="A10" s="6" t="str">
        <x:v>API-served</x:v>
      </x:c>
      <x:c r="B10" s="6" t="str">
        <x:v>Kimi-K2.5</x:v>
      </x:c>
      <x:c r="C10" s="18" t="n">
        <x:v>15.1</x:v>
      </x:c>
      <x:c r="D10" s="18" t="n">
        <x:v>1.3</x:v>
      </x:c>
      <x:c r="E10" s="25" t="n">
        <x:v>0.05422095</x:v>
      </x:c>
      <x:c r="F10" s="18" t="n">
        <x:v>32.36</x:v>
      </x:c>
      <x:c r="G10" s="18" t="n">
        <x:v>1.36</x:v>
      </x:c>
      <x:c r="H10" s="25" t="n">
        <x:v>0.3592008</x:v>
      </x:c>
      <x:c r="I10" s="21" t="n">
        <x:f>ROUND(F10-C10,2)</x:f>
        <x:v>17.26</x:v>
      </x:c>
      <x:c r="J10" s="6" t="str">
        <x:v>imagenet21k_dci_主要.xlsx</x:v>
      </x:c>
      <x:c r="K10" s="6" t="str">
        <x:v>API-Served</x:v>
      </x:c>
    </x:row>
    <x:row r="11">
      <x:c r="A11" s="6" t="str">
        <x:v>API-served</x:v>
      </x:c>
      <x:c r="B11" s="6" t="str">
        <x:v>Llama-4-Maverick</x:v>
      </x:c>
      <x:c r="C11" s="18" t="n">
        <x:v>12.46</x:v>
      </x:c>
      <x:c r="D11" s="18" t="n">
        <x:v>1.62</x:v>
      </x:c>
      <x:c r="E11" s="25" t="n">
        <x:v>0.01463105</x:v>
      </x:c>
      <x:c r="F11" s="18" t="n">
        <x:v>15.52</x:v>
      </x:c>
      <x:c r="G11" s="18" t="n">
        <x:v>1.17</x:v>
      </x:c>
      <x:c r="H11" s="25" t="n">
        <x:v>0.052318048</x:v>
      </x:c>
      <x:c r="I11" s="21" t="n">
        <x:f>ROUND(F11-C11,2)</x:f>
        <x:v>3.06</x:v>
      </x:c>
      <x:c r="J11" s="6" t="str">
        <x:v>imagenet21k_dci_主要.xlsx</x:v>
      </x:c>
      <x:c r="K11" s="6" t="str">
        <x:v>API-Served</x:v>
      </x:c>
    </x:row>
  </x:sheetData>
  <x:pageMargins left="0.7" right="0.7" top="0.75" bottom="0.75" header="0.3" footer="0.3"/>
  <x:tableParts count="1">
    <x:tablePart xmlns:r="http://schemas.openxmlformats.org/officeDocument/2006/relationships" r:id="R15503ed6157946b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20" hidden="0" customWidth="1"/>
    <x:col min="4" max="4" width="36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2" hidden="0" customWidth="1"/>
    <x:col min="10" max="10" width="22" hidden="0" customWidth="1"/>
    <x:col min="11" max="11" width="22" hidden="0" customWidth="1"/>
    <x:col min="12" max="12" width="12" hidden="0" customWidth="1"/>
    <x:col min="13" max="13" width="12" hidden="0" customWidth="1"/>
    <x:col min="14" max="14" width="66" hidden="0" customWidth="1"/>
    <x:col min="15" max="15" width="25" hidden="0" customWidth="1"/>
    <x:col min="16" max="16" width="25" hidden="0" customWidth="1"/>
  </x:cols>
  <x:sheetData>
    <x:row r="1" ht="32" customHeight="1">
      <x:c r="A1" s="14" t="str">
        <x:v>Dataset</x:v>
      </x:c>
      <x:c r="B1" s="15" t="str">
        <x:v>Panel</x:v>
      </x:c>
      <x:c r="C1" s="15" t="str">
        <x:v>Method Key</x:v>
      </x:c>
      <x:c r="D1" s="15" t="str">
        <x:v>Method</x:v>
      </x:c>
      <x:c r="E1" s="17" t="str">
        <x:v>Accuracy Mean (%)</x:v>
      </x:c>
      <x:c r="F1" s="17" t="str">
        <x:v>Accuracy Std</x:v>
      </x:c>
      <x:c r="G1" s="17" t="str">
        <x:v>Latency Mean (s/image)</x:v>
      </x:c>
      <x:c r="H1" s="17" t="str">
        <x:v>Latency Std</x:v>
      </x:c>
      <x:c r="I1" s="19" t="str">
        <x:v>Independent Runs</x:v>
      </x:c>
      <x:c r="J1" s="15" t="str">
        <x:v>Scaling Category</x:v>
      </x:c>
      <x:c r="K1" s="15" t="str">
        <x:v>Execution Mode</x:v>
      </x:c>
      <x:c r="L1" s="19" t="str">
        <x:v>Parallel Samples</x:v>
      </x:c>
      <x:c r="M1" s="19" t="str">
        <x:v>Aggregation Calls</x:v>
      </x:c>
      <x:c r="N1" s="15" t="str">
        <x:v>Notes</x:v>
      </x:c>
      <x:c r="O1" s="15" t="str">
        <x:v>Source Workbook</x:v>
      </x:c>
      <x:c r="P1" s="16" t="str">
        <x:v>Authority Sheet</x:v>
      </x:c>
    </x:row>
    <x:row r="2">
      <x:c r="A2" s="6" t="str">
        <x:v>CUB-200-2011</x:v>
      </x:c>
      <x:c r="B2" s="6" t="str">
        <x:v>(a)</x:v>
      </x:c>
      <x:c r="C2" s="6" t="str">
        <x:v>Baseline</x:v>
      </x:c>
      <x:c r="D2" s="6" t="str">
        <x:v>Baseline</x:v>
      </x:c>
      <x:c r="E2" s="18" t="n">
        <x:v>40.97</x:v>
      </x:c>
      <x:c r="F2" s="18" t="n">
        <x:v>0.19</x:v>
      </x:c>
      <x:c r="G2" s="18" t="n">
        <x:v>0.49</x:v>
      </x:c>
      <x:c r="H2" s="18" t="n">
        <x:v>0.03</x:v>
      </x:c>
      <x:c r="I2" s="20" t="n">
        <x:v>5</x:v>
      </x:c>
      <x:c r="J2" s="6" t="str">
        <x:v>Baseline</x:v>
      </x:c>
      <x:c r="K2" s="6" t="str">
        <x:v>Single pass</x:v>
      </x:c>
      <x:c r="L2" s="20"/>
      <x:c r="M2" s="20"/>
      <x:c r="N2" s="6" t="str">
        <x:v>Direct inference without a TTS strategy.</x:v>
      </x:c>
      <x:c r="O2" s="6" t="str">
        <x:v>tts对比.xlsx</x:v>
      </x:c>
      <x:c r="P2" s="6" t="str">
        <x:v>Figure Data</x:v>
      </x:c>
    </x:row>
    <x:row r="3">
      <x:c r="A3" s="6" t="str">
        <x:v>CUB-200-2011</x:v>
      </x:c>
      <x:c r="B3" s="6" t="str">
        <x:v>(a)</x:v>
      </x:c>
      <x:c r="C3" s="6" t="str">
        <x:v>CoT</x:v>
      </x:c>
      <x:c r="D3" s="6" t="str">
        <x:v>CoT</x:v>
      </x:c>
      <x:c r="E3" s="18" t="n">
        <x:v>41.59</x:v>
      </x:c>
      <x:c r="F3" s="18" t="n">
        <x:v>0.21</x:v>
      </x:c>
      <x:c r="G3" s="18" t="n">
        <x:v>0.62</x:v>
      </x:c>
      <x:c r="H3" s="18" t="n">
        <x:v>0.06</x:v>
      </x:c>
      <x:c r="I3" s="20" t="n">
        <x:v>5</x:v>
      </x:c>
      <x:c r="J3" s="6" t="str">
        <x:v>Sequential scaling</x:v>
      </x:c>
      <x:c r="K3" s="6" t="str">
        <x:v>Sequential</x:v>
      </x:c>
      <x:c r="L3" s="20"/>
      <x:c r="M3" s="20"/>
      <x:c r="N3" s="6" t="str">
        <x:v>Chain-of-Thought prompting.</x:v>
      </x:c>
      <x:c r="O3" s="6" t="str">
        <x:v>tts对比.xlsx</x:v>
      </x:c>
      <x:c r="P3" s="6" t="str">
        <x:v>Figure Data</x:v>
      </x:c>
    </x:row>
    <x:row r="4">
      <x:c r="A4" s="6" t="str">
        <x:v>CUB-200-2011</x:v>
      </x:c>
      <x:c r="B4" s="6" t="str">
        <x:v>(a)</x:v>
      </x:c>
      <x:c r="C4" s="6" t="str">
        <x:v>PaS</x:v>
      </x:c>
      <x:c r="D4" s="6" t="str">
        <x:v>PaS</x:v>
      </x:c>
      <x:c r="E4" s="18" t="n">
        <x:v>42.16</x:v>
      </x:c>
      <x:c r="F4" s="18" t="n">
        <x:v>0.12</x:v>
      </x:c>
      <x:c r="G4" s="18" t="n">
        <x:v>0.55</x:v>
      </x:c>
      <x:c r="H4" s="18" t="n">
        <x:v>0.11</x:v>
      </x:c>
      <x:c r="I4" s="20" t="n">
        <x:v>5</x:v>
      </x:c>
      <x:c r="J4" s="6" t="str">
        <x:v>Sequential scaling</x:v>
      </x:c>
      <x:c r="K4" s="6" t="str">
        <x:v>Sequential</x:v>
      </x:c>
      <x:c r="L4" s="20"/>
      <x:c r="M4" s="20"/>
      <x:c r="N4" s="6" t="str">
        <x:v>Plan-and-Solve prompting.</x:v>
      </x:c>
      <x:c r="O4" s="6" t="str">
        <x:v>tts对比.xlsx</x:v>
      </x:c>
      <x:c r="P4" s="6" t="str">
        <x:v>Figure Data</x:v>
      </x:c>
    </x:row>
    <x:row r="5">
      <x:c r="A5" s="6" t="str">
        <x:v>CUB-200-2011</x:v>
      </x:c>
      <x:c r="B5" s="6" t="str">
        <x:v>(a)</x:v>
      </x:c>
      <x:c r="C5" s="6" t="str">
        <x:v>SC</x:v>
      </x:c>
      <x:c r="D5" s="6" t="str">
        <x:v>SC (5 parallel samples)</x:v>
      </x:c>
      <x:c r="E5" s="18" t="n">
        <x:v>41.47</x:v>
      </x:c>
      <x:c r="F5" s="18" t="n">
        <x:v>0.15</x:v>
      </x:c>
      <x:c r="G5" s="18" t="n">
        <x:v>0.51</x:v>
      </x:c>
      <x:c r="H5" s="18" t="n">
        <x:v>0.05</x:v>
      </x:c>
      <x:c r="I5" s="20" t="n">
        <x:v>5</x:v>
      </x:c>
      <x:c r="J5" s="6" t="str">
        <x:v>Parallel scaling</x:v>
      </x:c>
      <x:c r="K5" s="6" t="str">
        <x:v>Parallel</x:v>
      </x:c>
      <x:c r="L5" s="20" t="n">
        <x:v>5</x:v>
      </x:c>
      <x:c r="M5" s="20" t="n">
        <x:v>0</x:v>
      </x:c>
      <x:c r="N5" s="6" t="str">
        <x:v>Five model responses are sampled in parallel and aggregated by voting.</x:v>
      </x:c>
      <x:c r="O5" s="6" t="str">
        <x:v>tts对比.xlsx</x:v>
      </x:c>
      <x:c r="P5" s="6" t="str">
        <x:v>Figure Data</x:v>
      </x:c>
    </x:row>
    <x:row r="6">
      <x:c r="A6" s="6" t="str">
        <x:v>CUB-200-2011</x:v>
      </x:c>
      <x:c r="B6" s="6" t="str">
        <x:v>(a)</x:v>
      </x:c>
      <x:c r="C6" s="6" t="str">
        <x:v>SA</x:v>
      </x:c>
      <x:c r="D6" s="6" t="str">
        <x:v>SA (4 parallel samples + 1 agg.)</x:v>
      </x:c>
      <x:c r="E6" s="18" t="n">
        <x:v>41.25</x:v>
      </x:c>
      <x:c r="F6" s="18" t="n">
        <x:v>0.2</x:v>
      </x:c>
      <x:c r="G6" s="18" t="n">
        <x:v>1.17</x:v>
      </x:c>
      <x:c r="H6" s="18" t="n">
        <x:v>0.15</x:v>
      </x:c>
      <x:c r="I6" s="20" t="n">
        <x:v>5</x:v>
      </x:c>
      <x:c r="J6" s="6" t="str">
        <x:v>Parallel scaling</x:v>
      </x:c>
      <x:c r="K6" s="6" t="str">
        <x:v>Parallel + aggregation</x:v>
      </x:c>
      <x:c r="L6" s="20" t="n">
        <x:v>4</x:v>
      </x:c>
      <x:c r="M6" s="20" t="n">
        <x:v>1</x:v>
      </x:c>
      <x:c r="N6" s="6" t="str">
        <x:v>Four responses are sampled in parallel, followed by one aggregation call.</x:v>
      </x:c>
      <x:c r="O6" s="6" t="str">
        <x:v>tts对比.xlsx</x:v>
      </x:c>
      <x:c r="P6" s="6" t="str">
        <x:v>Figure Data</x:v>
      </x:c>
    </x:row>
    <x:row r="7">
      <x:c r="A7" s="6" t="str">
        <x:v>CUB-200-2011</x:v>
      </x:c>
      <x:c r="B7" s="6" t="str">
        <x:v>(a)</x:v>
      </x:c>
      <x:c r="C7" s="6" t="str">
        <x:v>D&amp;A</x:v>
      </x:c>
      <x:c r="D7" s="6" t="str">
        <x:v>D&amp;A</x:v>
      </x:c>
      <x:c r="E7" s="18" t="n">
        <x:v>43.26</x:v>
      </x:c>
      <x:c r="F7" s="18" t="n">
        <x:v>0.13</x:v>
      </x:c>
      <x:c r="G7" s="18" t="n">
        <x:v>1.09</x:v>
      </x:c>
      <x:c r="H7" s="18" t="n">
        <x:v>0.17</x:v>
      </x:c>
      <x:c r="I7" s="20" t="n">
        <x:v>5</x:v>
      </x:c>
      <x:c r="J7" s="6" t="str">
        <x:v>Sequential scaling</x:v>
      </x:c>
      <x:c r="K7" s="6" t="str">
        <x:v>Sequential</x:v>
      </x:c>
      <x:c r="L7" s="20"/>
      <x:c r="M7" s="20"/>
      <x:c r="N7" s="6" t="str">
        <x:v>Describe first, then answer/classify.</x:v>
      </x:c>
      <x:c r="O7" s="6" t="str">
        <x:v>tts对比.xlsx</x:v>
      </x:c>
      <x:c r="P7" s="6" t="str">
        <x:v>Figure Data</x:v>
      </x:c>
    </x:row>
    <x:row r="8">
      <x:c r="A8" s="6" t="str">
        <x:v>CUB-200-2011</x:v>
      </x:c>
      <x:c r="B8" s="6" t="str">
        <x:v>(a)</x:v>
      </x:c>
      <x:c r="C8" s="6" t="str">
        <x:v>DCI-S</x:v>
      </x:c>
      <x:c r="D8" s="6" t="str">
        <x:v>DCI Sequential</x:v>
      </x:c>
      <x:c r="E8" s="18" t="n">
        <x:v>46.85</x:v>
      </x:c>
      <x:c r="F8" s="18" t="n">
        <x:v>0.16</x:v>
      </x:c>
      <x:c r="G8" s="18" t="n">
        <x:v>2.15</x:v>
      </x:c>
      <x:c r="H8" s="18" t="n">
        <x:v>0.1</x:v>
      </x:c>
      <x:c r="I8" s="20" t="n">
        <x:v>5</x:v>
      </x:c>
      <x:c r="J8" s="6" t="str">
        <x:v>Hybrid scaling</x:v>
      </x:c>
      <x:c r="K8" s="6" t="str">
        <x:v>Sequential</x:v>
      </x:c>
      <x:c r="L8" s="20"/>
      <x:c r="M8" s="20"/>
      <x:c r="N8" s="6" t="str">
        <x:v>DCI executed sequentially.</x:v>
      </x:c>
      <x:c r="O8" s="6" t="str">
        <x:v>tts对比.xlsx</x:v>
      </x:c>
      <x:c r="P8" s="6" t="str">
        <x:v>Figure Data</x:v>
      </x:c>
    </x:row>
    <x:row r="9">
      <x:c r="A9" s="6" t="str">
        <x:v>CUB-200-2011</x:v>
      </x:c>
      <x:c r="B9" s="6" t="str">
        <x:v>(a)</x:v>
      </x:c>
      <x:c r="C9" s="6" t="str">
        <x:v>DCI-P</x:v>
      </x:c>
      <x:c r="D9" s="6" t="str">
        <x:v>DCI Parallel</x:v>
      </x:c>
      <x:c r="E9" s="18" t="n">
        <x:v>46.85</x:v>
      </x:c>
      <x:c r="F9" s="18" t="n">
        <x:v>0.16</x:v>
      </x:c>
      <x:c r="G9" s="18" t="n">
        <x:v>1.42</x:v>
      </x:c>
      <x:c r="H9" s="18" t="n">
        <x:v>0.07</x:v>
      </x:c>
      <x:c r="I9" s="20" t="n">
        <x:v>5</x:v>
      </x:c>
      <x:c r="J9" s="6" t="str">
        <x:v>Hybrid scaling</x:v>
      </x:c>
      <x:c r="K9" s="6" t="str">
        <x:v>Parallel</x:v>
      </x:c>
      <x:c r="L9" s="20"/>
      <x:c r="M9" s="20"/>
      <x:c r="N9" s="6" t="str">
        <x:v>DCI groups executed in parallel.</x:v>
      </x:c>
      <x:c r="O9" s="6" t="str">
        <x:v>tts对比.xlsx</x:v>
      </x:c>
      <x:c r="P9" s="6" t="str">
        <x:v>Figure Data</x:v>
      </x:c>
    </x:row>
    <x:row r="10">
      <x:c r="A10" s="6" t="str">
        <x:v>ImageNet-1K</x:v>
      </x:c>
      <x:c r="B10" s="6" t="str">
        <x:v>(b)</x:v>
      </x:c>
      <x:c r="C10" s="6" t="str">
        <x:v>Baseline</x:v>
      </x:c>
      <x:c r="D10" s="6" t="str">
        <x:v>Baseline</x:v>
      </x:c>
      <x:c r="E10" s="18" t="n">
        <x:v>67.56</x:v>
      </x:c>
      <x:c r="F10" s="18" t="n">
        <x:v>0.38</x:v>
      </x:c>
      <x:c r="G10" s="18" t="n">
        <x:v>1.05</x:v>
      </x:c>
      <x:c r="H10" s="18" t="n">
        <x:v>0.06</x:v>
      </x:c>
      <x:c r="I10" s="20" t="n">
        <x:v>5</x:v>
      </x:c>
      <x:c r="J10" s="6" t="str">
        <x:v>Baseline</x:v>
      </x:c>
      <x:c r="K10" s="6" t="str">
        <x:v>Single pass</x:v>
      </x:c>
      <x:c r="L10" s="20"/>
      <x:c r="M10" s="20"/>
      <x:c r="N10" s="6" t="str">
        <x:v>Direct inference without a TTS strategy.</x:v>
      </x:c>
      <x:c r="O10" s="6" t="str">
        <x:v>tts对比.xlsx</x:v>
      </x:c>
      <x:c r="P10" s="6" t="str">
        <x:v>Figure Data</x:v>
      </x:c>
    </x:row>
    <x:row r="11">
      <x:c r="A11" s="6" t="str">
        <x:v>ImageNet-1K</x:v>
      </x:c>
      <x:c r="B11" s="6" t="str">
        <x:v>(b)</x:v>
      </x:c>
      <x:c r="C11" s="6" t="str">
        <x:v>CoT</x:v>
      </x:c>
      <x:c r="D11" s="6" t="str">
        <x:v>CoT</x:v>
      </x:c>
      <x:c r="E11" s="18" t="n">
        <x:v>67.75</x:v>
      </x:c>
      <x:c r="F11" s="18" t="n">
        <x:v>0.31</x:v>
      </x:c>
      <x:c r="G11" s="18" t="n">
        <x:v>1.53</x:v>
      </x:c>
      <x:c r="H11" s="18" t="n">
        <x:v>0.14</x:v>
      </x:c>
      <x:c r="I11" s="20" t="n">
        <x:v>5</x:v>
      </x:c>
      <x:c r="J11" s="6" t="str">
        <x:v>Sequential scaling</x:v>
      </x:c>
      <x:c r="K11" s="6" t="str">
        <x:v>Sequential</x:v>
      </x:c>
      <x:c r="L11" s="20"/>
      <x:c r="M11" s="20"/>
      <x:c r="N11" s="6" t="str">
        <x:v>Chain-of-Thought prompting.</x:v>
      </x:c>
      <x:c r="O11" s="6" t="str">
        <x:v>tts对比.xlsx</x:v>
      </x:c>
      <x:c r="P11" s="6" t="str">
        <x:v>Figure Data</x:v>
      </x:c>
    </x:row>
    <x:row r="12">
      <x:c r="A12" s="6" t="str">
        <x:v>ImageNet-1K</x:v>
      </x:c>
      <x:c r="B12" s="6" t="str">
        <x:v>(b)</x:v>
      </x:c>
      <x:c r="C12" s="6" t="str">
        <x:v>PaS</x:v>
      </x:c>
      <x:c r="D12" s="6" t="str">
        <x:v>PaS</x:v>
      </x:c>
      <x:c r="E12" s="18" t="n">
        <x:v>67.92</x:v>
      </x:c>
      <x:c r="F12" s="18" t="n">
        <x:v>0.25</x:v>
      </x:c>
      <x:c r="G12" s="18" t="n">
        <x:v>1.67</x:v>
      </x:c>
      <x:c r="H12" s="18" t="n">
        <x:v>0.18</x:v>
      </x:c>
      <x:c r="I12" s="20" t="n">
        <x:v>5</x:v>
      </x:c>
      <x:c r="J12" s="6" t="str">
        <x:v>Sequential scaling</x:v>
      </x:c>
      <x:c r="K12" s="6" t="str">
        <x:v>Sequential</x:v>
      </x:c>
      <x:c r="L12" s="20"/>
      <x:c r="M12" s="20"/>
      <x:c r="N12" s="6" t="str">
        <x:v>Plan-and-Solve prompting.</x:v>
      </x:c>
      <x:c r="O12" s="6" t="str">
        <x:v>tts对比.xlsx</x:v>
      </x:c>
      <x:c r="P12" s="6" t="str">
        <x:v>Figure Data</x:v>
      </x:c>
    </x:row>
    <x:row r="13">
      <x:c r="A13" s="6" t="str">
        <x:v>ImageNet-1K</x:v>
      </x:c>
      <x:c r="B13" s="6" t="str">
        <x:v>(b)</x:v>
      </x:c>
      <x:c r="C13" s="6" t="str">
        <x:v>SC</x:v>
      </x:c>
      <x:c r="D13" s="6" t="str">
        <x:v>SC (5 parallel samples)</x:v>
      </x:c>
      <x:c r="E13" s="18" t="n">
        <x:v>67.29</x:v>
      </x:c>
      <x:c r="F13" s="18" t="n">
        <x:v>0.18</x:v>
      </x:c>
      <x:c r="G13" s="18" t="n">
        <x:v>1.13</x:v>
      </x:c>
      <x:c r="H13" s="18" t="n">
        <x:v>0.13</x:v>
      </x:c>
      <x:c r="I13" s="20" t="n">
        <x:v>5</x:v>
      </x:c>
      <x:c r="J13" s="6" t="str">
        <x:v>Parallel scaling</x:v>
      </x:c>
      <x:c r="K13" s="6" t="str">
        <x:v>Parallel</x:v>
      </x:c>
      <x:c r="L13" s="20" t="n">
        <x:v>5</x:v>
      </x:c>
      <x:c r="M13" s="20" t="n">
        <x:v>0</x:v>
      </x:c>
      <x:c r="N13" s="6" t="str">
        <x:v>Five model responses are sampled in parallel and aggregated by voting.</x:v>
      </x:c>
      <x:c r="O13" s="6" t="str">
        <x:v>tts对比.xlsx</x:v>
      </x:c>
      <x:c r="P13" s="6" t="str">
        <x:v>Figure Data</x:v>
      </x:c>
    </x:row>
    <x:row r="14">
      <x:c r="A14" s="6" t="str">
        <x:v>ImageNet-1K</x:v>
      </x:c>
      <x:c r="B14" s="6" t="str">
        <x:v>(b)</x:v>
      </x:c>
      <x:c r="C14" s="6" t="str">
        <x:v>SA</x:v>
      </x:c>
      <x:c r="D14" s="6" t="str">
        <x:v>SA (4 parallel samples + 1 agg.)</x:v>
      </x:c>
      <x:c r="E14" s="18" t="n">
        <x:v>66.19</x:v>
      </x:c>
      <x:c r="F14" s="18" t="n">
        <x:v>0.32</x:v>
      </x:c>
      <x:c r="G14" s="18" t="n">
        <x:v>2.66</x:v>
      </x:c>
      <x:c r="H14" s="18" t="n">
        <x:v>0.19</x:v>
      </x:c>
      <x:c r="I14" s="20" t="n">
        <x:v>5</x:v>
      </x:c>
      <x:c r="J14" s="6" t="str">
        <x:v>Parallel scaling</x:v>
      </x:c>
      <x:c r="K14" s="6" t="str">
        <x:v>Parallel + aggregation</x:v>
      </x:c>
      <x:c r="L14" s="20" t="n">
        <x:v>4</x:v>
      </x:c>
      <x:c r="M14" s="20" t="n">
        <x:v>1</x:v>
      </x:c>
      <x:c r="N14" s="6" t="str">
        <x:v>Four responses are sampled in parallel, followed by one aggregation call.</x:v>
      </x:c>
      <x:c r="O14" s="6" t="str">
        <x:v>tts对比.xlsx</x:v>
      </x:c>
      <x:c r="P14" s="6" t="str">
        <x:v>Figure Data</x:v>
      </x:c>
    </x:row>
    <x:row r="15">
      <x:c r="A15" s="6" t="str">
        <x:v>ImageNet-1K</x:v>
      </x:c>
      <x:c r="B15" s="6" t="str">
        <x:v>(b)</x:v>
      </x:c>
      <x:c r="C15" s="6" t="str">
        <x:v>D&amp;A</x:v>
      </x:c>
      <x:c r="D15" s="6" t="str">
        <x:v>D&amp;A</x:v>
      </x:c>
      <x:c r="E15" s="18" t="n">
        <x:v>68.89</x:v>
      </x:c>
      <x:c r="F15" s="18" t="n">
        <x:v>0.35</x:v>
      </x:c>
      <x:c r="G15" s="18" t="n">
        <x:v>2.32</x:v>
      </x:c>
      <x:c r="H15" s="18" t="n">
        <x:v>0.21</x:v>
      </x:c>
      <x:c r="I15" s="20" t="n">
        <x:v>5</x:v>
      </x:c>
      <x:c r="J15" s="6" t="str">
        <x:v>Sequential scaling</x:v>
      </x:c>
      <x:c r="K15" s="6" t="str">
        <x:v>Sequential</x:v>
      </x:c>
      <x:c r="L15" s="20"/>
      <x:c r="M15" s="20"/>
      <x:c r="N15" s="6" t="str">
        <x:v>Describe first, then answer/classify.</x:v>
      </x:c>
      <x:c r="O15" s="6" t="str">
        <x:v>tts对比.xlsx</x:v>
      </x:c>
      <x:c r="P15" s="6" t="str">
        <x:v>Figure Data</x:v>
      </x:c>
    </x:row>
    <x:row r="16">
      <x:c r="A16" s="6" t="str">
        <x:v>ImageNet-1K</x:v>
      </x:c>
      <x:c r="B16" s="6" t="str">
        <x:v>(b)</x:v>
      </x:c>
      <x:c r="C16" s="6" t="str">
        <x:v>DCI-S</x:v>
      </x:c>
      <x:c r="D16" s="6" t="str">
        <x:v>DCI Sequential</x:v>
      </x:c>
      <x:c r="E16" s="18" t="n">
        <x:v>71.16</x:v>
      </x:c>
      <x:c r="F16" s="18" t="n">
        <x:v>0.44</x:v>
      </x:c>
      <x:c r="G16" s="18" t="n">
        <x:v>3.37</x:v>
      </x:c>
      <x:c r="H16" s="18" t="n">
        <x:v>0.11</x:v>
      </x:c>
      <x:c r="I16" s="20" t="n">
        <x:v>5</x:v>
      </x:c>
      <x:c r="J16" s="6" t="str">
        <x:v>Hybrid scaling</x:v>
      </x:c>
      <x:c r="K16" s="6" t="str">
        <x:v>Sequential</x:v>
      </x:c>
      <x:c r="L16" s="20"/>
      <x:c r="M16" s="20"/>
      <x:c r="N16" s="6" t="str">
        <x:v>DCI executed sequentially.</x:v>
      </x:c>
      <x:c r="O16" s="6" t="str">
        <x:v>tts对比.xlsx</x:v>
      </x:c>
      <x:c r="P16" s="6" t="str">
        <x:v>Figure Data</x:v>
      </x:c>
    </x:row>
    <x:row r="17">
      <x:c r="A17" s="6" t="str">
        <x:v>ImageNet-1K</x:v>
      </x:c>
      <x:c r="B17" s="6" t="str">
        <x:v>(b)</x:v>
      </x:c>
      <x:c r="C17" s="6" t="str">
        <x:v>DCI-P</x:v>
      </x:c>
      <x:c r="D17" s="6" t="str">
        <x:v>DCI Parallel</x:v>
      </x:c>
      <x:c r="E17" s="18" t="n">
        <x:v>71.16</x:v>
      </x:c>
      <x:c r="F17" s="18" t="n">
        <x:v>0.44</x:v>
      </x:c>
      <x:c r="G17" s="18" t="n">
        <x:v>1.91</x:v>
      </x:c>
      <x:c r="H17" s="18" t="n">
        <x:v>0.09</x:v>
      </x:c>
      <x:c r="I17" s="20" t="n">
        <x:v>5</x:v>
      </x:c>
      <x:c r="J17" s="6" t="str">
        <x:v>Hybrid scaling</x:v>
      </x:c>
      <x:c r="K17" s="6" t="str">
        <x:v>Parallel</x:v>
      </x:c>
      <x:c r="L17" s="20"/>
      <x:c r="M17" s="20"/>
      <x:c r="N17" s="6" t="str">
        <x:v>DCI groups executed in parallel.</x:v>
      </x:c>
      <x:c r="O17" s="6" t="str">
        <x:v>tts对比.xlsx</x:v>
      </x:c>
      <x:c r="P17" s="6" t="str">
        <x:v>Figure Data</x:v>
      </x:c>
    </x:row>
    <x:row r="18">
      <x:c r="A18" s="6" t="str">
        <x:v>ImageNet-21K</x:v>
      </x:c>
      <x:c r="B18" s="6" t="str">
        <x:v>(c)</x:v>
      </x:c>
      <x:c r="C18" s="6" t="str">
        <x:v>Baseline</x:v>
      </x:c>
      <x:c r="D18" s="6" t="str">
        <x:v>Baseline</x:v>
      </x:c>
      <x:c r="E18" s="18" t="n">
        <x:v>10.68</x:v>
      </x:c>
      <x:c r="F18" s="18" t="n">
        <x:v>0.96</x:v>
      </x:c>
      <x:c r="G18" s="18" t="n">
        <x:v>20.67</x:v>
      </x:c>
      <x:c r="H18" s="18" t="n">
        <x:v>0.19</x:v>
      </x:c>
      <x:c r="I18" s="20" t="n">
        <x:v>5</x:v>
      </x:c>
      <x:c r="J18" s="6" t="str">
        <x:v>Baseline</x:v>
      </x:c>
      <x:c r="K18" s="6" t="str">
        <x:v>Single pass</x:v>
      </x:c>
      <x:c r="L18" s="20"/>
      <x:c r="M18" s="20"/>
      <x:c r="N18" s="6" t="str">
        <x:v>Direct inference without a TTS strategy.</x:v>
      </x:c>
      <x:c r="O18" s="6" t="str">
        <x:v>tts对比.xlsx</x:v>
      </x:c>
      <x:c r="P18" s="6" t="str">
        <x:v>Figure Data</x:v>
      </x:c>
    </x:row>
    <x:row r="19">
      <x:c r="A19" s="6" t="str">
        <x:v>ImageNet-21K</x:v>
      </x:c>
      <x:c r="B19" s="6" t="str">
        <x:v>(c)</x:v>
      </x:c>
      <x:c r="C19" s="6" t="str">
        <x:v>CoT</x:v>
      </x:c>
      <x:c r="D19" s="6" t="str">
        <x:v>CoT</x:v>
      </x:c>
      <x:c r="E19" s="18" t="n">
        <x:v>11.38</x:v>
      </x:c>
      <x:c r="F19" s="18" t="n">
        <x:v>0.28</x:v>
      </x:c>
      <x:c r="G19" s="18" t="n">
        <x:v>24.15</x:v>
      </x:c>
      <x:c r="H19" s="18" t="n">
        <x:v>0.21</x:v>
      </x:c>
      <x:c r="I19" s="20" t="n">
        <x:v>5</x:v>
      </x:c>
      <x:c r="J19" s="6" t="str">
        <x:v>Sequential scaling</x:v>
      </x:c>
      <x:c r="K19" s="6" t="str">
        <x:v>Sequential</x:v>
      </x:c>
      <x:c r="L19" s="20"/>
      <x:c r="M19" s="20"/>
      <x:c r="N19" s="6" t="str">
        <x:v>Chain-of-Thought prompting.</x:v>
      </x:c>
      <x:c r="O19" s="6" t="str">
        <x:v>tts对比.xlsx</x:v>
      </x:c>
      <x:c r="P19" s="6" t="str">
        <x:v>Figure Data</x:v>
      </x:c>
    </x:row>
    <x:row r="20">
      <x:c r="A20" s="6" t="str">
        <x:v>ImageNet-21K</x:v>
      </x:c>
      <x:c r="B20" s="6" t="str">
        <x:v>(c)</x:v>
      </x:c>
      <x:c r="C20" s="6" t="str">
        <x:v>PaS</x:v>
      </x:c>
      <x:c r="D20" s="6" t="str">
        <x:v>PaS</x:v>
      </x:c>
      <x:c r="E20" s="18" t="n">
        <x:v>11.58</x:v>
      </x:c>
      <x:c r="F20" s="18" t="n">
        <x:v>0.23</x:v>
      </x:c>
      <x:c r="G20" s="18" t="n">
        <x:v>25.41</x:v>
      </x:c>
      <x:c r="H20" s="18" t="n">
        <x:v>0.25</x:v>
      </x:c>
      <x:c r="I20" s="20" t="n">
        <x:v>5</x:v>
      </x:c>
      <x:c r="J20" s="6" t="str">
        <x:v>Sequential scaling</x:v>
      </x:c>
      <x:c r="K20" s="6" t="str">
        <x:v>Sequential</x:v>
      </x:c>
      <x:c r="L20" s="20"/>
      <x:c r="M20" s="20"/>
      <x:c r="N20" s="6" t="str">
        <x:v>Plan-and-Solve prompting.</x:v>
      </x:c>
      <x:c r="O20" s="6" t="str">
        <x:v>tts对比.xlsx</x:v>
      </x:c>
      <x:c r="P20" s="6" t="str">
        <x:v>Figure Data</x:v>
      </x:c>
    </x:row>
    <x:row r="21">
      <x:c r="A21" s="6" t="str">
        <x:v>ImageNet-21K</x:v>
      </x:c>
      <x:c r="B21" s="6" t="str">
        <x:v>(c)</x:v>
      </x:c>
      <x:c r="C21" s="6" t="str">
        <x:v>SC</x:v>
      </x:c>
      <x:c r="D21" s="6" t="str">
        <x:v>SC (5 parallel samples)</x:v>
      </x:c>
      <x:c r="E21" s="18" t="n">
        <x:v>10.98</x:v>
      </x:c>
      <x:c r="F21" s="18" t="n">
        <x:v>0.22</x:v>
      </x:c>
      <x:c r="G21" s="18" t="n">
        <x:v>21.46</x:v>
      </x:c>
      <x:c r="H21" s="18" t="n">
        <x:v>0.23</x:v>
      </x:c>
      <x:c r="I21" s="20" t="n">
        <x:v>5</x:v>
      </x:c>
      <x:c r="J21" s="6" t="str">
        <x:v>Parallel scaling</x:v>
      </x:c>
      <x:c r="K21" s="6" t="str">
        <x:v>Parallel</x:v>
      </x:c>
      <x:c r="L21" s="20" t="n">
        <x:v>5</x:v>
      </x:c>
      <x:c r="M21" s="20" t="n">
        <x:v>0</x:v>
      </x:c>
      <x:c r="N21" s="6" t="str">
        <x:v>Five model responses are sampled in parallel and aggregated by voting.</x:v>
      </x:c>
      <x:c r="O21" s="6" t="str">
        <x:v>tts对比.xlsx</x:v>
      </x:c>
      <x:c r="P21" s="6" t="str">
        <x:v>Figure Data</x:v>
      </x:c>
    </x:row>
    <x:row r="22">
      <x:c r="A22" s="6" t="str">
        <x:v>ImageNet-21K</x:v>
      </x:c>
      <x:c r="B22" s="6" t="str">
        <x:v>(c)</x:v>
      </x:c>
      <x:c r="C22" s="6" t="str">
        <x:v>SA</x:v>
      </x:c>
      <x:c r="D22" s="6" t="str">
        <x:v>SA (4 parallel samples + 1 agg.)</x:v>
      </x:c>
      <x:c r="E22" s="18" t="n">
        <x:v>10.14</x:v>
      </x:c>
      <x:c r="F22" s="18" t="n">
        <x:v>0.35</x:v>
      </x:c>
      <x:c r="G22" s="18" t="n">
        <x:v>52.21</x:v>
      </x:c>
      <x:c r="H22" s="18" t="n">
        <x:v>0.26</x:v>
      </x:c>
      <x:c r="I22" s="20" t="n">
        <x:v>5</x:v>
      </x:c>
      <x:c r="J22" s="6" t="str">
        <x:v>Parallel scaling</x:v>
      </x:c>
      <x:c r="K22" s="6" t="str">
        <x:v>Parallel + aggregation</x:v>
      </x:c>
      <x:c r="L22" s="20" t="n">
        <x:v>4</x:v>
      </x:c>
      <x:c r="M22" s="20" t="n">
        <x:v>1</x:v>
      </x:c>
      <x:c r="N22" s="6" t="str">
        <x:v>Four responses are sampled in parallel, followed by one aggregation call.</x:v>
      </x:c>
      <x:c r="O22" s="6" t="str">
        <x:v>tts对比.xlsx</x:v>
      </x:c>
      <x:c r="P22" s="6" t="str">
        <x:v>Figure Data</x:v>
      </x:c>
    </x:row>
    <x:row r="23">
      <x:c r="A23" s="6" t="str">
        <x:v>ImageNet-21K</x:v>
      </x:c>
      <x:c r="B23" s="6" t="str">
        <x:v>(c)</x:v>
      </x:c>
      <x:c r="C23" s="6" t="str">
        <x:v>D&amp;A</x:v>
      </x:c>
      <x:c r="D23" s="6" t="str">
        <x:v>D&amp;A</x:v>
      </x:c>
      <x:c r="E23" s="18" t="n">
        <x:v>14.28</x:v>
      </x:c>
      <x:c r="F23" s="18" t="n">
        <x:v>0.42</x:v>
      </x:c>
      <x:c r="G23" s="18" t="n">
        <x:v>46.75</x:v>
      </x:c>
      <x:c r="H23" s="18" t="n">
        <x:v>0.32</x:v>
      </x:c>
      <x:c r="I23" s="20" t="n">
        <x:v>5</x:v>
      </x:c>
      <x:c r="J23" s="6" t="str">
        <x:v>Sequential scaling</x:v>
      </x:c>
      <x:c r="K23" s="6" t="str">
        <x:v>Sequential</x:v>
      </x:c>
      <x:c r="L23" s="20"/>
      <x:c r="M23" s="20"/>
      <x:c r="N23" s="6" t="str">
        <x:v>Describe first, then answer/classify.</x:v>
      </x:c>
      <x:c r="O23" s="6" t="str">
        <x:v>tts对比.xlsx</x:v>
      </x:c>
      <x:c r="P23" s="6" t="str">
        <x:v>Figure Data</x:v>
      </x:c>
    </x:row>
    <x:row r="24">
      <x:c r="A24" s="6" t="str">
        <x:v>ImageNet-21K</x:v>
      </x:c>
      <x:c r="B24" s="6" t="str">
        <x:v>(c)</x:v>
      </x:c>
      <x:c r="C24" s="6" t="str">
        <x:v>DCI-S</x:v>
      </x:c>
      <x:c r="D24" s="6" t="str">
        <x:v>DCI Sequential</x:v>
      </x:c>
      <x:c r="E24" s="18" t="n">
        <x:v>34.68</x:v>
      </x:c>
      <x:c r="F24" s="18" t="n">
        <x:v>1.68</x:v>
      </x:c>
      <x:c r="G24" s="18" t="n">
        <x:v>44.63</x:v>
      </x:c>
      <x:c r="H24" s="18" t="n">
        <x:v>0.21</x:v>
      </x:c>
      <x:c r="I24" s="20" t="n">
        <x:v>5</x:v>
      </x:c>
      <x:c r="J24" s="6" t="str">
        <x:v>Hybrid scaling</x:v>
      </x:c>
      <x:c r="K24" s="6" t="str">
        <x:v>Sequential</x:v>
      </x:c>
      <x:c r="L24" s="20"/>
      <x:c r="M24" s="20"/>
      <x:c r="N24" s="6" t="str">
        <x:v>DCI executed sequentially.</x:v>
      </x:c>
      <x:c r="O24" s="6" t="str">
        <x:v>tts对比.xlsx</x:v>
      </x:c>
      <x:c r="P24" s="6" t="str">
        <x:v>Figure Data</x:v>
      </x:c>
    </x:row>
    <x:row r="25">
      <x:c r="A25" s="6" t="str">
        <x:v>ImageNet-21K</x:v>
      </x:c>
      <x:c r="B25" s="6" t="str">
        <x:v>(c)</x:v>
      </x:c>
      <x:c r="C25" s="6" t="str">
        <x:v>DCI-P</x:v>
      </x:c>
      <x:c r="D25" s="6" t="str">
        <x:v>DCI Parallel</x:v>
      </x:c>
      <x:c r="E25" s="18" t="n">
        <x:v>34.68</x:v>
      </x:c>
      <x:c r="F25" s="18" t="n">
        <x:v>1.68</x:v>
      </x:c>
      <x:c r="G25" s="18" t="n">
        <x:v>27.23</x:v>
      </x:c>
      <x:c r="H25" s="18" t="n">
        <x:v>0.15</x:v>
      </x:c>
      <x:c r="I25" s="20" t="n">
        <x:v>5</x:v>
      </x:c>
      <x:c r="J25" s="6" t="str">
        <x:v>Hybrid scaling</x:v>
      </x:c>
      <x:c r="K25" s="6" t="str">
        <x:v>Parallel</x:v>
      </x:c>
      <x:c r="L25" s="20"/>
      <x:c r="M25" s="20"/>
      <x:c r="N25" s="6" t="str">
        <x:v>DCI groups executed in parallel.</x:v>
      </x:c>
      <x:c r="O25" s="6" t="str">
        <x:v>tts对比.xlsx</x:v>
      </x:c>
      <x:c r="P25" s="6" t="str">
        <x:v>Figure Data</x:v>
      </x:c>
    </x:row>
  </x:sheetData>
  <x:pageMargins left="0.7" right="0.7" top="0.75" bottom="0.75" header="0.3" footer="0.3"/>
  <x:tableParts count="1">
    <x:tablePart xmlns:r="http://schemas.openxmlformats.org/officeDocument/2006/relationships" r:id="Re4bd09e9abb443ae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8" hidden="0" customWidth="1"/>
    <x:col min="3" max="3" width="56" hidden="0" customWidth="1"/>
    <x:col min="4" max="4" width="20" hidden="0" customWidth="1"/>
    <x:col min="5" max="5" width="20" hidden="0" customWidth="1"/>
    <x:col min="6" max="6" width="42" hidden="0" customWidth="1"/>
  </x:cols>
  <x:sheetData>
    <x:row r="1" ht="26" customHeight="1">
      <x:c r="A1" s="126" t="str">
        <x:v>Date</x:v>
      </x:c>
      <x:c r="B1" s="126" t="str">
        <x:v>Location</x:v>
      </x:c>
      <x:c r="C1" s="126" t="str">
        <x:v>Description</x:v>
      </x:c>
      <x:c r="D1" s="126" t="str">
        <x:v>Before</x:v>
      </x:c>
      <x:c r="E1" s="126" t="str">
        <x:v>After</x:v>
      </x:c>
      <x:c r="F1" s="126" t="str">
        <x:v>Basis</x:v>
      </x:c>
    </x:row>
    <x:row r="2" ht="36" customHeight="1">
      <x:c r="A2" s="127" t="str">
        <x:v>2026-09-02</x:v>
      </x:c>
      <x:c r="B2" s="127" t="str">
        <x:v>IN21K Main!C2</x:v>
      </x:c>
      <x:c r="C2" s="127" t="str">
        <x:v>Qwen2.5-VL-7B-Instruct: Flat mean</x:v>
      </x:c>
      <x:c r="D2" s="128" t="n">
        <x:v>1.55</x:v>
      </x:c>
      <x:c r="E2" s="128" t="n">
        <x:v>1.56</x:v>
      </x:c>
      <x:c r="F2" s="127" t="str">
        <x:v>User-confirmed mean / derived gain</x:v>
      </x:c>
    </x:row>
    <x:row r="3" ht="36" customHeight="1">
      <x:c r="A3" s="127" t="str">
        <x:v>2026-09-02</x:v>
      </x:c>
      <x:c r="B3" s="127" t="str">
        <x:v>IN21K Main!F2</x:v>
      </x:c>
      <x:c r="C3" s="127" t="str">
        <x:v>Qwen2.5-VL-7B-Instruct: DCI B=100 mean</x:v>
      </x:c>
      <x:c r="D3" s="128" t="n">
        <x:v>37.87</x:v>
      </x:c>
      <x:c r="E3" s="128" t="n">
        <x:v>37.88</x:v>
      </x:c>
      <x:c r="F3" s="127" t="str">
        <x:v>User-confirmed mean / derived gain</x:v>
      </x:c>
    </x:row>
    <x:row r="4" ht="36" customHeight="1">
      <x:c r="A4" s="127" t="str">
        <x:v>2026-09-02</x:v>
      </x:c>
      <x:c r="B4" s="127" t="str">
        <x:v>IN21K Main!F4</x:v>
      </x:c>
      <x:c r="C4" s="127" t="str">
        <x:v>Qwen3-VL-4B-Instruct: DCI B=100 mean</x:v>
      </x:c>
      <x:c r="D4" s="128" t="n">
        <x:v>33.39</x:v>
      </x:c>
      <x:c r="E4" s="128" t="n">
        <x:v>33.4</x:v>
      </x:c>
      <x:c r="F4" s="127" t="str">
        <x:v>User-confirmed mean / derived gain</x:v>
      </x:c>
    </x:row>
    <x:row r="5" ht="36" customHeight="1">
      <x:c r="A5" s="127" t="str">
        <x:v>2026-09-02</x:v>
      </x:c>
      <x:c r="B5" s="127" t="str">
        <x:v>IN21K Main!I4</x:v>
      </x:c>
      <x:c r="C5" s="127" t="str">
        <x:v>Qwen3-VL-4B-Instruct: gain (pp)</x:v>
      </x:c>
      <x:c r="D5" s="128" t="n">
        <x:v>30.43</x:v>
      </x:c>
      <x:c r="E5" s="128" t="n">
        <x:v>30.44</x:v>
      </x:c>
      <x:c r="F5" s="127" t="str">
        <x:v>User-confirmed mean / derived gain</x:v>
      </x:c>
    </x:row>
    <x:row r="6" ht="36" customHeight="1">
      <x:c r="A6" s="127" t="str">
        <x:v>2026-09-02</x:v>
      </x:c>
      <x:c r="B6" s="127" t="str">
        <x:v>IN21K Main!F5</x:v>
      </x:c>
      <x:c r="C6" s="127" t="str">
        <x:v>Qwen3-VL-8B-Instruct: DCI B=100 mean</x:v>
      </x:c>
      <x:c r="D6" s="128" t="n">
        <x:v>34.69</x:v>
      </x:c>
      <x:c r="E6" s="128" t="n">
        <x:v>34.68</x:v>
      </x:c>
      <x:c r="F6" s="127" t="str">
        <x:v>User-confirmed mean / derived gain</x:v>
      </x:c>
    </x:row>
    <x:row r="7" ht="36" customHeight="1">
      <x:c r="A7" s="127" t="str">
        <x:v>2026-09-02</x:v>
      </x:c>
      <x:c r="B7" s="127" t="str">
        <x:v>IN21K Main!I5</x:v>
      </x:c>
      <x:c r="C7" s="127" t="str">
        <x:v>Qwen3-VL-8B-Instruct: gain (pp)</x:v>
      </x:c>
      <x:c r="D7" s="128" t="n">
        <x:v>24.01</x:v>
      </x:c>
      <x:c r="E7" s="128" t="n">
        <x:v>24</x:v>
      </x:c>
      <x:c r="F7" s="127" t="str">
        <x:v>User-confirmed mean / derived gain</x:v>
      </x:c>
    </x:row>
    <x:row r="8" ht="36" customHeight="1">
      <x:c r="A8" s="127" t="str">
        <x:v>2026-09-02</x:v>
      </x:c>
      <x:c r="B8" s="127" t="str">
        <x:v>IN21K Main!C6</x:v>
      </x:c>
      <x:c r="C8" s="127" t="str">
        <x:v>Gemma-4-E4B: Flat mean</x:v>
      </x:c>
      <x:c r="D8" s="128" t="n">
        <x:v>2.13</x:v>
      </x:c>
      <x:c r="E8" s="128" t="n">
        <x:v>2.14</x:v>
      </x:c>
      <x:c r="F8" s="127" t="str">
        <x:v>User-confirmed mean / derived gain</x:v>
      </x:c>
    </x:row>
    <x:row r="9" ht="36" customHeight="1">
      <x:c r="A9" s="127" t="str">
        <x:v>2026-09-02</x:v>
      </x:c>
      <x:c r="B9" s="127" t="str">
        <x:v>IN21K Main!F6</x:v>
      </x:c>
      <x:c r="C9" s="127" t="str">
        <x:v>Gemma-4-E4B: DCI B=100 mean</x:v>
      </x:c>
      <x:c r="D9" s="128" t="n">
        <x:v>13.47</x:v>
      </x:c>
      <x:c r="E9" s="128" t="n">
        <x:v>13.46</x:v>
      </x:c>
      <x:c r="F9" s="127" t="str">
        <x:v>User-confirmed mean / derived gain</x:v>
      </x:c>
    </x:row>
    <x:row r="10" ht="36" customHeight="1">
      <x:c r="A10" s="127" t="str">
        <x:v>2026-09-02</x:v>
      </x:c>
      <x:c r="B10" s="127" t="str">
        <x:v>IN21K Main!I6</x:v>
      </x:c>
      <x:c r="C10" s="127" t="str">
        <x:v>Gemma-4-E4B: gain (pp)</x:v>
      </x:c>
      <x:c r="D10" s="128" t="n">
        <x:v>11.34</x:v>
      </x:c>
      <x:c r="E10" s="128" t="n">
        <x:v>11.32</x:v>
      </x:c>
      <x:c r="F10" s="127" t="str">
        <x:v>User-confirmed mean / derived gain</x:v>
      </x:c>
    </x:row>
    <x:row r="11" ht="36" customHeight="1">
      <x:c r="A11" s="127" t="str">
        <x:v>2026-09-02</x:v>
      </x:c>
      <x:c r="B11" s="127" t="str">
        <x:v>IN21K Main!C7</x:v>
      </x:c>
      <x:c r="C11" s="127" t="str">
        <x:v>GPT-4.1: Flat mean</x:v>
      </x:c>
      <x:c r="D11" s="128" t="n">
        <x:v>35.77</x:v>
      </x:c>
      <x:c r="E11" s="128" t="n">
        <x:v>35.78</x:v>
      </x:c>
      <x:c r="F11" s="127" t="str">
        <x:v>User-confirmed mean / derived gain</x:v>
      </x:c>
    </x:row>
    <x:row r="12" ht="36" customHeight="1">
      <x:c r="A12" s="127" t="str">
        <x:v>2026-09-02</x:v>
      </x:c>
      <x:c r="B12" s="127" t="str">
        <x:v>IN21K Main!F7</x:v>
      </x:c>
      <x:c r="C12" s="127" t="str">
        <x:v>GPT-4.1: DCI B=100 mean</x:v>
      </x:c>
      <x:c r="D12" s="128" t="n">
        <x:v>45.15</x:v>
      </x:c>
      <x:c r="E12" s="128" t="n">
        <x:v>45.14</x:v>
      </x:c>
      <x:c r="F12" s="127" t="str">
        <x:v>User-confirmed mean / derived gain</x:v>
      </x:c>
    </x:row>
    <x:row r="13" ht="36" customHeight="1">
      <x:c r="A13" s="127" t="str">
        <x:v>2026-09-02</x:v>
      </x:c>
      <x:c r="B13" s="127" t="str">
        <x:v>IN21K Main!I7</x:v>
      </x:c>
      <x:c r="C13" s="127" t="str">
        <x:v>GPT-4.1: gain (pp)</x:v>
      </x:c>
      <x:c r="D13" s="128" t="n">
        <x:v>9.38</x:v>
      </x:c>
      <x:c r="E13" s="128" t="n">
        <x:v>9.36</x:v>
      </x:c>
      <x:c r="F13" s="127" t="str">
        <x:v>User-confirmed mean / derived gain</x:v>
      </x:c>
    </x:row>
    <x:row r="14" ht="36" customHeight="1">
      <x:c r="A14" s="127" t="str">
        <x:v>2026-09-02</x:v>
      </x:c>
      <x:c r="B14" s="127" t="str">
        <x:v>IN21K Main!F8</x:v>
      </x:c>
      <x:c r="C14" s="127" t="str">
        <x:v>Claude Opus 4.5: DCI B=100 mean</x:v>
      </x:c>
      <x:c r="D14" s="128" t="n">
        <x:v>62.91</x:v>
      </x:c>
      <x:c r="E14" s="128" t="n">
        <x:v>62.92</x:v>
      </x:c>
      <x:c r="F14" s="127" t="str">
        <x:v>User-confirmed mean / derived gain</x:v>
      </x:c>
    </x:row>
    <x:row r="15" ht="36" customHeight="1">
      <x:c r="A15" s="127" t="str">
        <x:v>2026-09-02</x:v>
      </x:c>
      <x:c r="B15" s="127" t="str">
        <x:v>IN21K Main!I8</x:v>
      </x:c>
      <x:c r="C15" s="127" t="str">
        <x:v>Claude Opus 4.5: gain (pp)</x:v>
      </x:c>
      <x:c r="D15" s="128" t="n">
        <x:v>17.03</x:v>
      </x:c>
      <x:c r="E15" s="128" t="n">
        <x:v>17.04</x:v>
      </x:c>
      <x:c r="F15" s="127" t="str">
        <x:v>User-confirmed mean / derived gain</x:v>
      </x:c>
    </x:row>
    <x:row r="16" ht="36" customHeight="1">
      <x:c r="A16" s="127" t="str">
        <x:v>2026-09-02</x:v>
      </x:c>
      <x:c r="B16" s="127" t="str">
        <x:v>IN21K Main!C9</x:v>
      </x:c>
      <x:c r="C16" s="127" t="str">
        <x:v>Qwen3-VL-Plus: Flat mean</x:v>
      </x:c>
      <x:c r="D16" s="128" t="n">
        <x:v>36.79</x:v>
      </x:c>
      <x:c r="E16" s="128" t="n">
        <x:v>36.76</x:v>
      </x:c>
      <x:c r="F16" s="127" t="str">
        <x:v>User-confirmed mean / derived gain</x:v>
      </x:c>
    </x:row>
    <x:row r="17" ht="36" customHeight="1">
      <x:c r="A17" s="127" t="str">
        <x:v>2026-09-02</x:v>
      </x:c>
      <x:c r="B17" s="127" t="str">
        <x:v>IN21K Main!I9</x:v>
      </x:c>
      <x:c r="C17" s="127" t="str">
        <x:v>Qwen3-VL-Plus: gain (pp)</x:v>
      </x:c>
      <x:c r="D17" s="128" t="n">
        <x:v>6.77</x:v>
      </x:c>
      <x:c r="E17" s="128" t="n">
        <x:v>6.8</x:v>
      </x:c>
      <x:c r="F17" s="127" t="str">
        <x:v>User-confirmed mean / derived gain</x:v>
      </x:c>
    </x:row>
    <x:row r="18" ht="36" customHeight="1">
      <x:c r="A18" s="127" t="str">
        <x:v>2026-09-02</x:v>
      </x:c>
      <x:c r="B18" s="127" t="str">
        <x:v>IN21K Main!C10</x:v>
      </x:c>
      <x:c r="C18" s="127" t="str">
        <x:v>Kimi-K2.5: Flat mean</x:v>
      </x:c>
      <x:c r="D18" s="128" t="n">
        <x:v>15.13</x:v>
      </x:c>
      <x:c r="E18" s="128" t="n">
        <x:v>15.1</x:v>
      </x:c>
      <x:c r="F18" s="127" t="str">
        <x:v>User-confirmed mean / derived gain</x:v>
      </x:c>
    </x:row>
    <x:row r="19" ht="36" customHeight="1">
      <x:c r="A19" s="127" t="str">
        <x:v>2026-09-02</x:v>
      </x:c>
      <x:c r="B19" s="127" t="str">
        <x:v>IN21K Main!I10</x:v>
      </x:c>
      <x:c r="C19" s="127" t="str">
        <x:v>Kimi-K2.5: gain (pp)</x:v>
      </x:c>
      <x:c r="D19" s="128" t="n">
        <x:v>17.23</x:v>
      </x:c>
      <x:c r="E19" s="128" t="n">
        <x:v>17.26</x:v>
      </x:c>
      <x:c r="F19" s="127" t="str">
        <x:v>User-confirmed mean / derived gain</x:v>
      </x:c>
    </x:row>
    <x:row r="20" ht="36" customHeight="1">
      <x:c r="A20" s="127" t="str">
        <x:v>2026-09-02</x:v>
      </x:c>
      <x:c r="B20" s="127" t="str">
        <x:v>IN21K Main!C11</x:v>
      </x:c>
      <x:c r="C20" s="127" t="str">
        <x:v>Llama-4-Maverick: Flat mean</x:v>
      </x:c>
      <x:c r="D20" s="128" t="n">
        <x:v>12.45</x:v>
      </x:c>
      <x:c r="E20" s="128" t="n">
        <x:v>12.46</x:v>
      </x:c>
      <x:c r="F20" s="127" t="str">
        <x:v>User-confirmed mean / derived gain</x:v>
      </x:c>
    </x:row>
    <x:row r="21" ht="36" customHeight="1">
      <x:c r="A21" s="127" t="str">
        <x:v>2026-09-02</x:v>
      </x:c>
      <x:c r="B21" s="127" t="str">
        <x:v>IN21K Main!I11</x:v>
      </x:c>
      <x:c r="C21" s="127" t="str">
        <x:v>Llama-4-Maverick: gain (pp)</x:v>
      </x:c>
      <x:c r="D21" s="128" t="n">
        <x:v>3.07</x:v>
      </x:c>
      <x:c r="E21" s="128" t="n">
        <x:v>3.06</x:v>
      </x:c>
      <x:c r="F21" s="127" t="str">
        <x:v>User-confirmed mean / derived gain</x:v>
      </x:c>
    </x:row>
    <x:row r="22" ht="36" customHeight="1">
      <x:c r="A22" s="127" t="str">
        <x:v>2026-09-02</x:v>
      </x:c>
      <x:c r="B22" s="127" t="str">
        <x:v>IN21K Group Size!F8</x:v>
      </x:c>
      <x:c r="C22" s="127" t="str">
        <x:v>Gemma-4-E4B: DCI B=100 mean</x:v>
      </x:c>
      <x:c r="D22" s="128" t="n">
        <x:v>13.47</x:v>
      </x:c>
      <x:c r="E22" s="128" t="n">
        <x:v>13.46</x:v>
      </x:c>
      <x:c r="F22" s="127" t="str">
        <x:v>User-confirmed mean / derived gain</x:v>
      </x:c>
    </x:row>
    <x:row r="23" ht="36" customHeight="1">
      <x:c r="A23" s="127" t="str">
        <x:v>2026-09-02</x:v>
      </x:c>
      <x:c r="B23" s="127" t="str">
        <x:v>IN21K Group Size!F24</x:v>
      </x:c>
      <x:c r="C23" s="127" t="str">
        <x:v>Gemma-4-E4B: Flat mean</x:v>
      </x:c>
      <x:c r="D23" s="128" t="n">
        <x:v>2.13</x:v>
      </x:c>
      <x:c r="E23" s="128" t="n">
        <x:v>2.14</x:v>
      </x:c>
      <x:c r="F23" s="127" t="str">
        <x:v>User-confirmed mean / derived gain</x:v>
      </x:c>
    </x:row>
    <x:row r="24" ht="90" customHeight="1">
      <x:c r="A24" s="127" t="str">
        <x:v>2026-09-02</x:v>
      </x:c>
      <x:c r="B24" s="127" t="str">
        <x:v>README!E13</x:v>
      </x:c>
      <x:c r="C24" s="127" t="str">
        <x:v>Updated provenance</x:v>
      </x:c>
      <x:c r="D24" s="128" t="str">
        <x:v>Original source files were not modified; model, dataset, and metric names are standardized to manuscript identifiers</x:v>
      </x:c>
      <x:c r="E24" s="128" t="str">
        <x:v>2026-09-02: user-confirmed Table 2 means synchronized; SD, latency and cost unchanged. Original versions backed up.</x:v>
      </x:c>
      <x:c r="F24" s="127" t="str">
        <x:v>Metadata update</x:v>
      </x:c>
    </x:row>
    <x:row r="25" ht="38" customHeight="1">
      <x:c r="A25" s="127" t="str">
        <x:v>2026-09-02</x:v>
      </x:c>
      <x:c r="B25" s="127" t="str">
        <x:v>README!A14</x:v>
      </x:c>
      <x:c r="C25" s="127" t="str">
        <x:v>Keep historical audit date explicit</x:v>
      </x:c>
      <x:c r="D25" s="128" t="str">
        <x:v>Latest cross-table audit</x:v>
      </x:c>
      <x:c r="E25" s="128" t="str">
        <x:v>Historical cross-table audit</x:v>
      </x:c>
      <x:c r="F25" s="127" t="str">
        <x:v>Metadata update</x:v>
      </x:c>
    </x:row>
    <x:row r="26" ht="38" customHeight="1">
      <x:c r="A26" s="127" t="str">
        <x:v>2026-09-02</x:v>
      </x:c>
      <x:c r="B26" s="127" t="str">
        <x:v>QC!A5</x:v>
      </x:c>
      <x:c r="C26" s="127" t="str">
        <x:v>Keep historical audit explicit</x:v>
      </x:c>
      <x:c r="D26" s="128" t="str">
        <x:v>All comparable values</x:v>
      </x:c>
      <x:c r="E26" s="128" t="str">
        <x:v>Historical comparable values (2026-08-26)</x:v>
      </x:c>
      <x:c r="F26" s="127" t="str">
        <x:v>Metadata update</x:v>
      </x:c>
    </x:row>
    <x:row r="27" ht="77" customHeight="1">
      <x:c r="A27" s="127" t="str">
        <x:v>2026-09-02</x:v>
      </x:c>
      <x:c r="B27" s="127" t="str">
        <x:v>QC!F27</x:v>
      </x:c>
      <x:c r="C27" s="127" t="str">
        <x:v>Updated provenance</x:v>
      </x:c>
      <x:c r="D27" s="128" t="str">
        <x:v>Summary workbook only</x:v>
      </x:c>
      <x:c r="E27" s="128" t="str">
        <x:v>2026-09-02: confirmed summary means updated; pre-edit originals backed up; historical Raw Data retained.</x:v>
      </x:c>
      <x:c r="F27" s="127" t="str">
        <x:v>Metadata update</x:v>
      </x:c>
    </x:row>
    <x:row r="28" ht="38" customHeight="1">
      <x:c r="A28" s="127" t="str">
        <x:v>2026-09-02</x:v>
      </x:c>
      <x:c r="B28" s="127" t="str">
        <x:v>QC!C27</x:v>
      </x:c>
      <x:c r="C28" s="127" t="str">
        <x:v>Updated provenance</x:v>
      </x:c>
      <x:c r="D28" s="128" t="str">
        <x:v>No source workbook modified</x:v>
      </x:c>
      <x:c r="E28" s="128" t="str">
        <x:v>Confirmed summary corrections</x:v>
      </x:c>
      <x:c r="F28" s="127" t="str">
        <x:v>Metadata update</x:v>
      </x:c>
    </x:row>
    <x:row r="29" ht="38" customHeight="1">
      <x:c r="A29" s="127" t="str">
        <x:v>2026-09-02</x:v>
      </x:c>
      <x:c r="B29" s="127" t="str">
        <x:v>QC!D27</x:v>
      </x:c>
      <x:c r="C29" s="127" t="str">
        <x:v>Updated provenance</x:v>
      </x:c>
      <x:c r="D29" s="128" t="str">
        <x:v>Read-only source handling</x:v>
      </x:c>
      <x:c r="E29" s="128" t="str">
        <x:v>Backups + Confirmation Log</x:v>
      </x:c>
      <x:c r="F29" s="127" t="str">
        <x:v>Metadata update</x:v>
      </x:c>
    </x:row>
    <x:row r="30" ht="36" customHeight="1">
      <x:c r="A30" s="127" t="str">
        <x:v>2026-09-02</x:v>
      </x:c>
      <x:c r="B30" s="127" t="str">
        <x:v>QC!E12</x:v>
      </x:c>
      <x:c r="C30" s="127" t="str">
        <x:v>TTS ImageNet-21K configuration not confirmed</x:v>
      </x:c>
      <x:c r="D30" s="128" t="str">
        <x:v>Passed</x:v>
      </x:c>
      <x:c r="E30" s="128" t="str">
        <x:v>Pending B confirmation</x:v>
      </x:c>
      <x:c r="F30" s="127" t="str">
        <x:v>Metadata update</x:v>
      </x:c>
    </x:row>
    <x:row r="31" ht="77" customHeight="1">
      <x:c r="A31" s="127" t="str">
        <x:v>2026-09-02</x:v>
      </x:c>
      <x:c r="B31" s="127" t="str">
        <x:v>QC!F12</x:v>
      </x:c>
      <x:c r="C31" s="127" t="str">
        <x:v>TTS synchronization scope</x:v>
      </x:c>
      <x:c r="D31" s="128" t="str">
        <x:v>Qwen3-VL-8B baseline and DCI-P</x:v>
      </x:c>
      <x:c r="E31" s="128" t="str">
        <x:v>Historical match only; confirm whether TTS reuses Table 2 B=100 before propagating the revised DCI mean.</x:v>
      </x:c>
      <x:c r="F31" s="127" t="str">
        <x:v>Metadata update</x:v>
      </x:c>
    </x:row>
    <x:row r="32" ht="36" customHeight="1">
      <x:c r="A32" s="127"/>
      <x:c r="B32" s="127"/>
      <x:c r="C32" s="127"/>
      <x:c r="D32" s="127"/>
      <x:c r="E32" s="127"/>
      <x:c r="F32" s="127"/>
    </x:row>
    <x:row r="33" ht="36" customHeight="1">
      <x:c r="A33" s="127" t="str">
        <x:v>Scope</x:v>
      </x:c>
      <x:c r="B33" s="127" t="str">
        <x:v>ImageNet-21K; Table 2 and reused points</x:v>
      </x:c>
      <x:c r="C33" s="127" t="str">
        <x:v>Mean corrections confirmed by user; no per-run recomputation.</x:v>
      </x:c>
      <x:c r="D33" s="127" t="str">
        <x:v>SD unchanged</x:v>
      </x:c>
      <x:c r="E33" s="127" t="str">
        <x:v>Latency/cost unchanged</x:v>
      </x:c>
      <x:c r="F33" s="127" t="str">
        <x:v>Historical Raw Data retained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7" hidden="0" customWidth="1"/>
    <x:col min="3" max="3" width="52" hidden="0" customWidth="1"/>
    <x:col min="4" max="4" width="14" hidden="0" customWidth="1"/>
    <x:col min="5" max="5" width="14" hidden="0" customWidth="1"/>
    <x:col min="6" max="6" width="50" hidden="0" customWidth="1"/>
  </x:cols>
  <x:sheetData>
    <x:row r="1" ht="28" customHeight="1">
      <x:c r="A1" s="130" t="str">
        <x:v>Date</x:v>
      </x:c>
      <x:c r="B1" s="130" t="str">
        <x:v>Location</x:v>
      </x:c>
      <x:c r="C1" s="130" t="str">
        <x:v>Model / method</x:v>
      </x:c>
      <x:c r="D1" s="130" t="str">
        <x:v>Before (%)</x:v>
      </x:c>
      <x:c r="E1" s="130" t="str">
        <x:v>After (%)</x:v>
      </x:c>
      <x:c r="F1" s="130" t="str">
        <x:v>Basis</x:v>
      </x:c>
    </x:row>
    <x:row r="2" ht="46" customHeight="1">
      <x:c r="A2" s="127" t="str">
        <x:v>2026-09-03</x:v>
      </x:c>
      <x:c r="B2" s="127" t="str">
        <x:v>Scaling Wide!B2</x:v>
      </x:c>
      <x:c r="C2" s="127" t="str">
        <x:v>Llama-3.2-11B-Vision-Instruct / Flat</x:v>
      </x:c>
      <x:c r="D2" s="128" t="n">
        <x:v>93.77</x:v>
      </x:c>
      <x:c r="E2" s="128" t="n">
        <x:v>93.76</x:v>
      </x:c>
      <x:c r="F2" s="127" t="str">
        <x:v>Author-reported entry correction; not a per-run recomputation.</x:v>
      </x:c>
    </x:row>
    <x:row r="3" ht="46" customHeight="1">
      <x:c r="A3" s="127" t="str">
        <x:v>2026-09-03</x:v>
      </x:c>
      <x:c r="B3" s="127" t="str">
        <x:v>Scaling Wide!B3</x:v>
      </x:c>
      <x:c r="C3" s="127" t="str">
        <x:v>Gemma-3-4B-IT / Flat</x:v>
      </x:c>
      <x:c r="D3" s="128" t="n">
        <x:v>93.89</x:v>
      </x:c>
      <x:c r="E3" s="128" t="n">
        <x:v>93.88</x:v>
      </x:c>
      <x:c r="F3" s="127" t="str">
        <x:v>Author-reported entry correction; not a per-run recomputation.</x:v>
      </x:c>
    </x:row>
    <x:row r="4" ht="46" customHeight="1">
      <x:c r="A4" s="127" t="str">
        <x:v>2026-09-03</x:v>
      </x:c>
      <x:c r="B4" s="127" t="str">
        <x:v>Scaling Wide!B4</x:v>
      </x:c>
      <x:c r="C4" s="127" t="str">
        <x:v>Gemma-4-E4B / Flat</x:v>
      </x:c>
      <x:c r="D4" s="128" t="n">
        <x:v>88.78</x:v>
      </x:c>
      <x:c r="E4" s="128" t="n">
        <x:v>88.76</x:v>
      </x:c>
      <x:c r="F4" s="127" t="str">
        <x:v>Author-reported entry correction; not a per-run recomputation.</x:v>
      </x:c>
    </x:row>
    <x:row r="5" ht="46" customHeight="1">
      <x:c r="A5" s="127" t="str">
        <x:v>2026-09-03</x:v>
      </x:c>
      <x:c r="B5" s="127" t="str">
        <x:v>Scaling Wide!B5</x:v>
      </x:c>
      <x:c r="C5" s="127" t="str">
        <x:v>DeepSeek-VL-7B-chat / Flat</x:v>
      </x:c>
      <x:c r="D5" s="128" t="n">
        <x:v>68.74</x:v>
      </x:c>
      <x:c r="E5" s="128" t="n">
        <x:v>68.72</x:v>
      </x:c>
      <x:c r="F5" s="127" t="str">
        <x:v>Author-reported entry correction; not a per-run recomputation.</x:v>
      </x:c>
    </x:row>
    <x:row r="6" ht="46" customHeight="1">
      <x:c r="A6" s="127" t="str">
        <x:v>2026-09-03</x:v>
      </x:c>
      <x:c r="B6" s="127" t="str">
        <x:v>Scaling Wide!B6</x:v>
      </x:c>
      <x:c r="C6" s="127" t="str">
        <x:v>Kimi-VL-A3B-Instruct / Flat</x:v>
      </x:c>
      <x:c r="D6" s="128" t="n">
        <x:v>94.29</x:v>
      </x:c>
      <x:c r="E6" s="128" t="n">
        <x:v>94.28</x:v>
      </x:c>
      <x:c r="F6" s="127" t="str">
        <x:v>Author-reported entry correction; not a per-run recomputation.</x:v>
      </x:c>
    </x:row>
    <x:row r="7" ht="46" customHeight="1">
      <x:c r="A7" s="127" t="str">
        <x:v>2026-09-03</x:v>
      </x:c>
      <x:c r="B7" s="127" t="str">
        <x:v>Scaling Wide!B7</x:v>
      </x:c>
      <x:c r="C7" s="127" t="str">
        <x:v>Qwen2.5-VL-7B-Instruct / Flat</x:v>
      </x:c>
      <x:c r="D7" s="128" t="n">
        <x:v>97.18</x:v>
      </x:c>
      <x:c r="E7" s="128" t="n">
        <x:v>97.16</x:v>
      </x:c>
      <x:c r="F7" s="127" t="str">
        <x:v>Author-reported entry correction; not a per-run recomputation.</x:v>
      </x:c>
    </x:row>
    <x:row r="8" ht="46" customHeight="1">
      <x:c r="A8" s="127" t="str">
        <x:v>2026-09-03</x:v>
      </x:c>
      <x:c r="B8" s="127" t="str">
        <x:v>Scaling Wide!B8</x:v>
      </x:c>
      <x:c r="C8" s="127" t="str">
        <x:v>Qwen2.5-VL-32B-Instruct / Flat</x:v>
      </x:c>
      <x:c r="D8" s="128" t="n">
        <x:v>98.05</x:v>
      </x:c>
      <x:c r="E8" s="128" t="n">
        <x:v>98.04</x:v>
      </x:c>
      <x:c r="F8" s="127" t="str">
        <x:v>Author-reported entry correction; not a per-run recomputation.</x:v>
      </x:c>
    </x:row>
    <x:row r="9" ht="46" customHeight="1">
      <x:c r="A9" s="127" t="str">
        <x:v>2026-09-03</x:v>
      </x:c>
      <x:c r="B9" s="127" t="str">
        <x:v>Scaling Wide!B9</x:v>
      </x:c>
      <x:c r="C9" s="127" t="str">
        <x:v>Qwen2.5-VL-MAX / Flat</x:v>
      </x:c>
      <x:c r="D9" s="128" t="n">
        <x:v>98.53</x:v>
      </x:c>
      <x:c r="E9" s="128" t="n">
        <x:v>98.52</x:v>
      </x:c>
      <x:c r="F9" s="127" t="str">
        <x:v>Author-reported entry correction; not a per-run recomputation.</x:v>
      </x:c>
    </x:row>
    <x:row r="10" ht="46" customHeight="1">
      <x:c r="A10" s="127" t="str">
        <x:v>2026-09-03</x:v>
      </x:c>
      <x:c r="B10" s="127" t="str">
        <x:v>Scaling Wide!B10</x:v>
      </x:c>
      <x:c r="C10" s="127" t="str">
        <x:v>Qwen3-VL-2B-Instruct / Flat</x:v>
      </x:c>
      <x:c r="D10" s="128" t="n">
        <x:v>95.82</x:v>
      </x:c>
      <x:c r="E10" s="128" t="n">
        <x:v>95.8</x:v>
      </x:c>
      <x:c r="F10" s="127" t="str">
        <x:v>Author-reported entry correction; not a per-run recomputation.</x:v>
      </x:c>
    </x:row>
    <x:row r="11" ht="46" customHeight="1">
      <x:c r="A11" s="127" t="str">
        <x:v>2026-09-03</x:v>
      </x:c>
      <x:c r="B11" s="127" t="str">
        <x:v>Scaling Wide!B11</x:v>
      </x:c>
      <x:c r="C11" s="127" t="str">
        <x:v>Qwen3-VL-8B-Instruct / Flat</x:v>
      </x:c>
      <x:c r="D11" s="128" t="n">
        <x:v>97.05</x:v>
      </x:c>
      <x:c r="E11" s="128" t="n">
        <x:v>97.04</x:v>
      </x:c>
      <x:c r="F11" s="127" t="str">
        <x:v>Author-reported entry correction; not a per-run recomputation.</x:v>
      </x:c>
    </x:row>
    <x:row r="12" ht="46" customHeight="1">
      <x:c r="A12" s="127" t="str">
        <x:v>2026-09-03</x:v>
      </x:c>
      <x:c r="B12" s="127" t="str">
        <x:v>Scaling Long!C2</x:v>
      </x:c>
      <x:c r="C12" s="127" t="str">
        <x:v>Llama-3.2-11B-Vision-Instruct / Flat</x:v>
      </x:c>
      <x:c r="D12" s="128" t="n">
        <x:v>93.77</x:v>
      </x:c>
      <x:c r="E12" s="128" t="n">
        <x:v>93.76</x:v>
      </x:c>
      <x:c r="F12" s="127" t="str">
        <x:v>Author-reported entry correction; not a per-run recomputation.</x:v>
      </x:c>
    </x:row>
    <x:row r="13" ht="46" customHeight="1">
      <x:c r="A13" s="127" t="str">
        <x:v>2026-09-03</x:v>
      </x:c>
      <x:c r="B13" s="127" t="str">
        <x:v>Scaling Long!C8</x:v>
      </x:c>
      <x:c r="C13" s="127" t="str">
        <x:v>Gemma-3-4B-IT / Flat</x:v>
      </x:c>
      <x:c r="D13" s="128" t="n">
        <x:v>93.89</x:v>
      </x:c>
      <x:c r="E13" s="128" t="n">
        <x:v>93.88</x:v>
      </x:c>
      <x:c r="F13" s="127" t="str">
        <x:v>Author-reported entry correction; not a per-run recomputation.</x:v>
      </x:c>
    </x:row>
    <x:row r="14" ht="46" customHeight="1">
      <x:c r="A14" s="127" t="str">
        <x:v>2026-09-03</x:v>
      </x:c>
      <x:c r="B14" s="127" t="str">
        <x:v>Scaling Long!C14</x:v>
      </x:c>
      <x:c r="C14" s="127" t="str">
        <x:v>Gemma-4-E4B / Flat</x:v>
      </x:c>
      <x:c r="D14" s="128" t="n">
        <x:v>88.78</x:v>
      </x:c>
      <x:c r="E14" s="128" t="n">
        <x:v>88.76</x:v>
      </x:c>
      <x:c r="F14" s="127" t="str">
        <x:v>Author-reported entry correction; not a per-run recomputation.</x:v>
      </x:c>
    </x:row>
    <x:row r="15" ht="46" customHeight="1">
      <x:c r="A15" s="127" t="str">
        <x:v>2026-09-03</x:v>
      </x:c>
      <x:c r="B15" s="127" t="str">
        <x:v>Scaling Long!C20</x:v>
      </x:c>
      <x:c r="C15" s="127" t="str">
        <x:v>DeepSeek-VL-7B-chat / Flat</x:v>
      </x:c>
      <x:c r="D15" s="128" t="n">
        <x:v>68.74</x:v>
      </x:c>
      <x:c r="E15" s="128" t="n">
        <x:v>68.72</x:v>
      </x:c>
      <x:c r="F15" s="127" t="str">
        <x:v>Author-reported entry correction; not a per-run recomputation.</x:v>
      </x:c>
    </x:row>
    <x:row r="16" ht="46" customHeight="1">
      <x:c r="A16" s="127" t="str">
        <x:v>2026-09-03</x:v>
      </x:c>
      <x:c r="B16" s="127" t="str">
        <x:v>Scaling Long!C26</x:v>
      </x:c>
      <x:c r="C16" s="127" t="str">
        <x:v>Kimi-VL-A3B-Instruct / Flat</x:v>
      </x:c>
      <x:c r="D16" s="128" t="n">
        <x:v>94.29</x:v>
      </x:c>
      <x:c r="E16" s="128" t="n">
        <x:v>94.28</x:v>
      </x:c>
      <x:c r="F16" s="127" t="str">
        <x:v>Author-reported entry correction; not a per-run recomputation.</x:v>
      </x:c>
    </x:row>
    <x:row r="17" ht="46" customHeight="1">
      <x:c r="A17" s="127" t="str">
        <x:v>2026-09-03</x:v>
      </x:c>
      <x:c r="B17" s="127" t="str">
        <x:v>Scaling Long!C32</x:v>
      </x:c>
      <x:c r="C17" s="127" t="str">
        <x:v>Qwen2.5-VL-7B-Instruct / Flat</x:v>
      </x:c>
      <x:c r="D17" s="128" t="n">
        <x:v>97.18</x:v>
      </x:c>
      <x:c r="E17" s="128" t="n">
        <x:v>97.16</x:v>
      </x:c>
      <x:c r="F17" s="127" t="str">
        <x:v>Author-reported entry correction; not a per-run recomputation.</x:v>
      </x:c>
    </x:row>
    <x:row r="18" ht="46" customHeight="1">
      <x:c r="A18" s="127" t="str">
        <x:v>2026-09-03</x:v>
      </x:c>
      <x:c r="B18" s="127" t="str">
        <x:v>Scaling Long!C38</x:v>
      </x:c>
      <x:c r="C18" s="127" t="str">
        <x:v>Qwen2.5-VL-32B-Instruct / Flat</x:v>
      </x:c>
      <x:c r="D18" s="128" t="n">
        <x:v>98.05</x:v>
      </x:c>
      <x:c r="E18" s="128" t="n">
        <x:v>98.04</x:v>
      </x:c>
      <x:c r="F18" s="127" t="str">
        <x:v>Author-reported entry correction; not a per-run recomputation.</x:v>
      </x:c>
    </x:row>
    <x:row r="19" ht="46" customHeight="1">
      <x:c r="A19" s="127" t="str">
        <x:v>2026-09-03</x:v>
      </x:c>
      <x:c r="B19" s="127" t="str">
        <x:v>Scaling Long!C44</x:v>
      </x:c>
      <x:c r="C19" s="127" t="str">
        <x:v>Qwen2.5-VL-MAX / Flat</x:v>
      </x:c>
      <x:c r="D19" s="128" t="n">
        <x:v>98.53</x:v>
      </x:c>
      <x:c r="E19" s="128" t="n">
        <x:v>98.52</x:v>
      </x:c>
      <x:c r="F19" s="127" t="str">
        <x:v>Author-reported entry correction; not a per-run recomputation.</x:v>
      </x:c>
    </x:row>
    <x:row r="20" ht="46" customHeight="1">
      <x:c r="A20" s="127" t="str">
        <x:v>2026-09-03</x:v>
      </x:c>
      <x:c r="B20" s="127" t="str">
        <x:v>Scaling Long!C50</x:v>
      </x:c>
      <x:c r="C20" s="127" t="str">
        <x:v>Qwen3-VL-2B-Instruct / Flat</x:v>
      </x:c>
      <x:c r="D20" s="128" t="n">
        <x:v>95.82</x:v>
      </x:c>
      <x:c r="E20" s="128" t="n">
        <x:v>95.8</x:v>
      </x:c>
      <x:c r="F20" s="127" t="str">
        <x:v>Author-reported entry correction; not a per-run recomputation.</x:v>
      </x:c>
    </x:row>
    <x:row r="21" ht="46" customHeight="1">
      <x:c r="A21" s="127" t="str">
        <x:v>2026-09-03</x:v>
      </x:c>
      <x:c r="B21" s="127" t="str">
        <x:v>Scaling Long!C56</x:v>
      </x:c>
      <x:c r="C21" s="127" t="str">
        <x:v>Qwen3-VL-8B-Instruct / Flat</x:v>
      </x:c>
      <x:c r="D21" s="128" t="n">
        <x:v>97.05</x:v>
      </x:c>
      <x:c r="E21" s="128" t="n">
        <x:v>97.04</x:v>
      </x:c>
      <x:c r="F21" s="127" t="str">
        <x:v>Author-reported entry correction; not a per-run recomputation.</x:v>
      </x:c>
    </x:row>
    <x:row r="22" ht="46" customHeight="1">
      <x:c r="A22" s="127" t="str">
        <x:v>2026-09-03</x:v>
      </x:c>
      <x:c r="B22" s="127" t="str">
        <x:v>Suppression!E2</x:v>
      </x:c>
      <x:c r="C22" s="127" t="str">
        <x:v>Qwen2.5-VL-7B-Instruct / Flat</x:v>
      </x:c>
      <x:c r="D22" s="128" t="n">
        <x:v>97.18</x:v>
      </x:c>
      <x:c r="E22" s="128" t="n">
        <x:v>97.16</x:v>
      </x:c>
      <x:c r="F22" s="127" t="str">
        <x:v>Author-reported entry correction; not a per-run recomputation.</x:v>
      </x:c>
    </x:row>
    <x:row r="23" ht="46" customHeight="1">
      <x:c r="A23" s="127" t="str">
        <x:v>2026-09-03</x:v>
      </x:c>
      <x:c r="B23" s="127" t="str">
        <x:v>Suppression!G2</x:v>
      </x:c>
      <x:c r="C23" s="127" t="str">
        <x:v>Qwen2.5-VL-7B-Instruct / DCI</x:v>
      </x:c>
      <x:c r="D23" s="128" t="n">
        <x:v>97.77</x:v>
      </x:c>
      <x:c r="E23" s="128" t="n">
        <x:v>97.76</x:v>
      </x:c>
      <x:c r="F23" s="127" t="str">
        <x:v>Author-reported entry correction; not a per-run recomputation.</x:v>
      </x:c>
    </x:row>
    <x:row r="24" ht="46" customHeight="1">
      <x:c r="A24" s="127" t="str">
        <x:v>2026-09-03</x:v>
      </x:c>
      <x:c r="B24" s="127" t="str">
        <x:v>Suppression!E8</x:v>
      </x:c>
      <x:c r="C24" s="127" t="str">
        <x:v>Qwen3-VL-2B-Instruct / Flat</x:v>
      </x:c>
      <x:c r="D24" s="128" t="n">
        <x:v>95.82</x:v>
      </x:c>
      <x:c r="E24" s="128" t="n">
        <x:v>95.8</x:v>
      </x:c>
      <x:c r="F24" s="127" t="str">
        <x:v>Author-reported entry correction; not a per-run recomputation.</x:v>
      </x:c>
    </x:row>
    <x:row r="25" ht="46" customHeight="1">
      <x:c r="A25" s="127" t="str">
        <x:v>2026-09-03</x:v>
      </x:c>
      <x:c r="B25" s="127" t="str">
        <x:v>Suppression!G8</x:v>
      </x:c>
      <x:c r="C25" s="127" t="str">
        <x:v>Qwen3-VL-2B-Instruct / DCI</x:v>
      </x:c>
      <x:c r="D25" s="128" t="n">
        <x:v>92.91</x:v>
      </x:c>
      <x:c r="E25" s="128" t="n">
        <x:v>92.92</x:v>
      </x:c>
      <x:c r="F25" s="127" t="str">
        <x:v>Author-reported entry correction; not a per-run recomputation.</x:v>
      </x:c>
    </x:row>
    <x:row r="26" ht="46" customHeight="1">
      <x:c r="A26" s="127" t="str">
        <x:v>2026-09-03</x:v>
      </x:c>
      <x:c r="B26" s="127" t="str">
        <x:v>Suppression!E14</x:v>
      </x:c>
      <x:c r="C26" s="127" t="str">
        <x:v>Qwen3-VL-8B-Instruct / Flat</x:v>
      </x:c>
      <x:c r="D26" s="128" t="n">
        <x:v>97.05</x:v>
      </x:c>
      <x:c r="E26" s="128" t="n">
        <x:v>97.04</x:v>
      </x:c>
      <x:c r="F26" s="127" t="str">
        <x:v>Author-reported entry correction; not a per-run recomputation.</x:v>
      </x:c>
    </x:row>
    <x:row r="27" ht="46" customHeight="1">
      <x:c r="A27" s="127" t="str">
        <x:v>2026-09-03</x:v>
      </x:c>
      <x:c r="B27" s="127" t="str">
        <x:v>Suppression!G14</x:v>
      </x:c>
      <x:c r="C27" s="127" t="str">
        <x:v>Qwen3-VL-8B-Instruct / DCI</x:v>
      </x:c>
      <x:c r="D27" s="128" t="n">
        <x:v>97.09</x:v>
      </x:c>
      <x:c r="E27" s="128" t="n">
        <x:v>97.08</x:v>
      </x:c>
      <x:c r="F27" s="127" t="str">
        <x:v>Author-reported entry correction; not a per-run recomputation.</x:v>
      </x:c>
    </x:row>
    <x:row r="28" ht="46" customHeight="1">
      <x:c r="A28" s="127" t="str">
        <x:v>2026-09-03</x:v>
      </x:c>
      <x:c r="B28" s="127" t="str">
        <x:v>Suppression!E20</x:v>
      </x:c>
      <x:c r="C28" s="127" t="str">
        <x:v>DeepSeek-VL-7B-chat / Flat</x:v>
      </x:c>
      <x:c r="D28" s="128" t="n">
        <x:v>68.74</x:v>
      </x:c>
      <x:c r="E28" s="128" t="n">
        <x:v>68.72</x:v>
      </x:c>
      <x:c r="F28" s="127" t="str">
        <x:v>Author-reported entry correction; not a per-run recomputation.</x:v>
      </x:c>
    </x:row>
    <x:row r="29" ht="46" customHeight="1">
      <x:c r="A29" s="127" t="str">
        <x:v>2026-09-03</x:v>
      </x:c>
      <x:c r="B29" s="127" t="str">
        <x:v>Suppression!G20</x:v>
      </x:c>
      <x:c r="C29" s="127" t="str">
        <x:v>DeepSeek-VL-7B-chat / DCI</x:v>
      </x:c>
      <x:c r="D29" s="128" t="n">
        <x:v>67.03</x:v>
      </x:c>
      <x:c r="E29" s="128" t="n">
        <x:v>67.04</x:v>
      </x:c>
      <x:c r="F29" s="127" t="str">
        <x:v>Author-reported entry correction; not a per-run recomputation.</x:v>
      </x:c>
    </x:row>
    <x:row r="30" ht="46" customHeight="1">
      <x:c r="A30" s="127" t="str">
        <x:v>2026-09-03</x:v>
      </x:c>
      <x:c r="B30" s="127" t="str">
        <x:v>Suppression!E26</x:v>
      </x:c>
      <x:c r="C30" s="127" t="str">
        <x:v>Kimi-VL-A3B-Instruct / Flat</x:v>
      </x:c>
      <x:c r="D30" s="128" t="n">
        <x:v>94.29</x:v>
      </x:c>
      <x:c r="E30" s="128" t="n">
        <x:v>94.28</x:v>
      </x:c>
      <x:c r="F30" s="127" t="str">
        <x:v>Author-reported entry correction; not a per-run recomputation.</x:v>
      </x:c>
    </x:row>
    <x:row r="31" ht="46" customHeight="1">
      <x:c r="A31" s="127" t="str">
        <x:v>2026-09-03</x:v>
      </x:c>
      <x:c r="B31" s="127" t="str">
        <x:v>Suppression!G26</x:v>
      </x:c>
      <x:c r="C31" s="127" t="str">
        <x:v>Kimi-VL-A3B-Instruct / DCI</x:v>
      </x:c>
      <x:c r="D31" s="128" t="n">
        <x:v>88.85</x:v>
      </x:c>
      <x:c r="E31" s="128" t="n">
        <x:v>88.84</x:v>
      </x:c>
      <x:c r="F31" s="127" t="str">
        <x:v>Author-reported entry correction; not a per-run recomputation.</x:v>
      </x:c>
    </x:row>
    <x:row r="32" ht="46" customHeight="1">
      <x:c r="A32" s="127" t="str">
        <x:v>2026-09-03</x:v>
      </x:c>
      <x:c r="B32" s="127" t="str">
        <x:v>Suppression!E32</x:v>
      </x:c>
      <x:c r="C32" s="127" t="str">
        <x:v>Gemma-4-E4B / Flat</x:v>
      </x:c>
      <x:c r="D32" s="128" t="n">
        <x:v>88.78</x:v>
      </x:c>
      <x:c r="E32" s="128" t="n">
        <x:v>88.76</x:v>
      </x:c>
      <x:c r="F32" s="127" t="str">
        <x:v>Author-reported entry correction; not a per-run recomputation.</x:v>
      </x:c>
    </x:row>
    <x:row r="33" ht="46" customHeight="1">
      <x:c r="A33" s="127" t="str">
        <x:v>2026-09-03</x:v>
      </x:c>
      <x:c r="B33" s="127" t="str">
        <x:v>Suppression!G32</x:v>
      </x:c>
      <x:c r="C33" s="127" t="str">
        <x:v>Gemma-4-E4B / DCI</x:v>
      </x:c>
      <x:c r="D33" s="128" t="n">
        <x:v>87.47</x:v>
      </x:c>
      <x:c r="E33" s="128" t="n">
        <x:v>87.48</x:v>
      </x:c>
      <x:c r="F33" s="127" t="str">
        <x:v>Author-reported entry correction; not a per-run recomputation.</x:v>
      </x:c>
    </x:row>
    <x:row r="34" ht="46" customHeight="1">
      <x:c r="A34" s="127"/>
      <x:c r="B34" s="127"/>
      <x:c r="C34" s="127"/>
      <x:c r="D34" s="127"/>
      <x:c r="E34" s="127"/>
      <x:c r="F34" s="127"/>
    </x:row>
    <x:row r="35" ht="46" customHeight="1">
      <x:c r="A35" s="127" t="str">
        <x:v>Scope</x:v>
      </x:c>
      <x:c r="B35" s="127" t="str">
        <x:v>N=10; 500 images × 5 runs</x:v>
      </x:c>
      <x:c r="C35" s="127" t="str">
        <x:v>Source backups and original SD retained.</x:v>
      </x:c>
      <x:c r="D35" s="127" t="str">
        <x:v>SD unchanged</x:v>
      </x:c>
      <x:c r="E35" s="127" t="str">
        <x:v>Other settings unchanged</x:v>
      </x:c>
      <x:c r="F35" s="127" t="str">
        <x:v>Four equidistant Flat values explicitly confirmed by the author.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5" hidden="0" customWidth="1"/>
    <x:col min="3" max="3" width="51" hidden="0" customWidth="1"/>
    <x:col min="4" max="4" width="13" hidden="0" customWidth="1"/>
    <x:col min="5" max="5" width="13" hidden="0" customWidth="1"/>
    <x:col min="6" max="6" width="12" hidden="0" customWidth="1"/>
    <x:col min="7" max="7" width="59" hidden="0" customWidth="1"/>
    <x:col min="8" max="8" width="27" hidden="0" customWidth="1"/>
  </x:cols>
  <x:sheetData>
    <x:row r="1" ht="28" customHeight="1">
      <x:c r="A1" s="132" t="str">
        <x:v>Date</x:v>
      </x:c>
      <x:c r="B1" s="132" t="str">
        <x:v>Location</x:v>
      </x:c>
      <x:c r="C1" s="132" t="str">
        <x:v>Experimental setting</x:v>
      </x:c>
      <x:c r="D1" s="132" t="str">
        <x:v>Before (%)</x:v>
      </x:c>
      <x:c r="E1" s="132" t="str">
        <x:v>After (%)</x:v>
      </x:c>
      <x:c r="F1" s="132" t="str">
        <x:v>Step (pp)</x:v>
      </x:c>
      <x:c r="G1" s="132" t="str">
        <x:v>Basis</x:v>
      </x:c>
      <x:c r="H1" s="132" t="str">
        <x:v>Previous formula / input</x:v>
      </x:c>
    </x:row>
    <x:row r="2" ht="66" customHeight="1">
      <x:c r="A2" s="127" t="str">
        <x:v>2026-09-03</x:v>
      </x:c>
      <x:c r="B2" s="127" t="str">
        <x:v>Scaling Wide!D3</x:v>
      </x:c>
      <x:c r="C2" s="127" t="str">
        <x:v>Gemma-3-4B-IT; Flat; ImageNet-1K; N=20; 1000 images x 5 runs</x:v>
      </x:c>
      <x:c r="D2" s="128" t="n">
        <x:v>90.09</x:v>
      </x:c>
      <x:c r="E2" s="128" t="n">
        <x:v>90.08</x:v>
      </x:c>
      <x:c r="F2" s="128" t="n">
        <x:v>0.02</x:v>
      </x:c>
      <x:c r="G2" s="127" t="str">
        <x:v>Author-requested nearest-grid entry correction; midpoint rounded down following prior author choices. No per-run recomputation.</x:v>
      </x:c>
      <x:c r="H2" s="127" t="str">
        <x:v>Static input</x:v>
      </x:c>
    </x:row>
    <x:row r="3" ht="66" customHeight="1">
      <x:c r="A3" s="127" t="str">
        <x:v>2026-09-03</x:v>
      </x:c>
      <x:c r="B3" s="127" t="str">
        <x:v>Scaling Wide!D4</x:v>
      </x:c>
      <x:c r="C3" s="127" t="str">
        <x:v>Gemma-4-E4B; Flat; ImageNet-1K; N=20; 1000 images x 5 runs</x:v>
      </x:c>
      <x:c r="D3" s="128" t="n">
        <x:v>82.17</x:v>
      </x:c>
      <x:c r="E3" s="128" t="n">
        <x:v>82.16</x:v>
      </x:c>
      <x:c r="F3" s="128" t="n">
        <x:v>0.02</x:v>
      </x:c>
      <x:c r="G3" s="127" t="str">
        <x:v>Author-requested nearest-grid entry correction; midpoint rounded down following prior author choices. No per-run recomputation.</x:v>
      </x:c>
      <x:c r="H3" s="127" t="str">
        <x:v>Static input</x:v>
      </x:c>
    </x:row>
    <x:row r="4" ht="66" customHeight="1">
      <x:c r="A4" s="127" t="str">
        <x:v>2026-09-03</x:v>
      </x:c>
      <x:c r="B4" s="127" t="str">
        <x:v>Scaling Wide!D6</x:v>
      </x:c>
      <x:c r="C4" s="127" t="str">
        <x:v>Kimi-VL-A3B-Instruct; Flat; ImageNet-1K; N=20; 1000 images x 5 runs</x:v>
      </x:c>
      <x:c r="D4" s="128" t="n">
        <x:v>87.71</x:v>
      </x:c>
      <x:c r="E4" s="128" t="n">
        <x:v>87.7</x:v>
      </x:c>
      <x:c r="F4" s="128" t="n">
        <x:v>0.02</x:v>
      </x:c>
      <x:c r="G4" s="127" t="str">
        <x:v>Author-requested nearest-grid entry correction; midpoint rounded down following prior author choices. No per-run recomputation.</x:v>
      </x:c>
      <x:c r="H4" s="127" t="str">
        <x:v>Static input</x:v>
      </x:c>
    </x:row>
    <x:row r="5" ht="66" customHeight="1">
      <x:c r="A5" s="127" t="str">
        <x:v>2026-09-03</x:v>
      </x:c>
      <x:c r="B5" s="127" t="str">
        <x:v>Scaling Wide!D7</x:v>
      </x:c>
      <x:c r="C5" s="127" t="str">
        <x:v>Qwen2.5-VL-7B-Instruct; Flat; ImageNet-1K; N=20; 1000 images x 5 runs</x:v>
      </x:c>
      <x:c r="D5" s="128" t="n">
        <x:v>95.25</x:v>
      </x:c>
      <x:c r="E5" s="128" t="n">
        <x:v>95.24</x:v>
      </x:c>
      <x:c r="F5" s="128" t="n">
        <x:v>0.02</x:v>
      </x:c>
      <x:c r="G5" s="127" t="str">
        <x:v>Author-requested nearest-grid entry correction; midpoint rounded down following prior author choices. No per-run recomputation.</x:v>
      </x:c>
      <x:c r="H5" s="127" t="str">
        <x:v>Static input</x:v>
      </x:c>
    </x:row>
    <x:row r="6" ht="66" customHeight="1">
      <x:c r="A6" s="127" t="str">
        <x:v>2026-09-03</x:v>
      </x:c>
      <x:c r="B6" s="127" t="str">
        <x:v>Scaling Wide!D8</x:v>
      </x:c>
      <x:c r="C6" s="127" t="str">
        <x:v>Qwen2.5-VL-32B-Instruct; Flat; ImageNet-1K; N=20; 1000 images x 5 runs</x:v>
      </x:c>
      <x:c r="D6" s="128" t="n">
        <x:v>97.25</x:v>
      </x:c>
      <x:c r="E6" s="128" t="n">
        <x:v>97.24</x:v>
      </x:c>
      <x:c r="F6" s="128" t="n">
        <x:v>0.02</x:v>
      </x:c>
      <x:c r="G6" s="127" t="str">
        <x:v>Author-requested nearest-grid entry correction; midpoint rounded down following prior author choices. No per-run recomputation.</x:v>
      </x:c>
      <x:c r="H6" s="127" t="str">
        <x:v>Static input</x:v>
      </x:c>
    </x:row>
    <x:row r="7" ht="66" customHeight="1">
      <x:c r="A7" s="127" t="str">
        <x:v>2026-09-03</x:v>
      </x:c>
      <x:c r="B7" s="127" t="str">
        <x:v>Scaling Wide!D9</x:v>
      </x:c>
      <x:c r="C7" s="127" t="str">
        <x:v>Qwen2.5-VL-MAX; Flat; ImageNet-1K; N=20; 1000 images x 5 runs</x:v>
      </x:c>
      <x:c r="D7" s="128" t="n">
        <x:v>97.25</x:v>
      </x:c>
      <x:c r="E7" s="128" t="n">
        <x:v>97.24</x:v>
      </x:c>
      <x:c r="F7" s="128" t="n">
        <x:v>0.02</x:v>
      </x:c>
      <x:c r="G7" s="127" t="str">
        <x:v>Author-requested nearest-grid entry correction; midpoint rounded down following prior author choices. No per-run recomputation.</x:v>
      </x:c>
      <x:c r="H7" s="127" t="str">
        <x:v>Static input</x:v>
      </x:c>
    </x:row>
    <x:row r="8" ht="66" customHeight="1">
      <x:c r="A8" s="127" t="str">
        <x:v>2026-09-03</x:v>
      </x:c>
      <x:c r="B8" s="127" t="str">
        <x:v>Suppression!E3</x:v>
      </x:c>
      <x:c r="C8" s="127" t="str">
        <x:v>Qwen2.5-VL-7B-Instruct; Flat; N=20; 1000 images x 5 runs</x:v>
      </x:c>
      <x:c r="D8" s="128" t="n">
        <x:v>95.25</x:v>
      </x:c>
      <x:c r="E8" s="128" t="n">
        <x:v>95.24</x:v>
      </x:c>
      <x:c r="F8" s="128" t="n">
        <x:v>0.02</x:v>
      </x:c>
      <x:c r="G8" s="127" t="str">
        <x:v>Author-requested nearest-grid entry correction; midpoint rounded down following prior author choices. No per-run recomputation.</x:v>
      </x:c>
      <x:c r="H8" s="127" t="str">
        <x:v>Static input</x:v>
      </x:c>
    </x:row>
    <x:row r="9" ht="66" customHeight="1">
      <x:c r="A9" s="127" t="str">
        <x:v>2026-09-03</x:v>
      </x:c>
      <x:c r="B9" s="127" t="str">
        <x:v>Suppression!G3</x:v>
      </x:c>
      <x:c r="C9" s="127" t="str">
        <x:v>Qwen2.5-VL-7B-Instruct; DCI; N=20; B=10; 1000 images x 5 runs</x:v>
      </x:c>
      <x:c r="D9" s="128" t="n">
        <x:v>96.05</x:v>
      </x:c>
      <x:c r="E9" s="128" t="n">
        <x:v>96.04</x:v>
      </x:c>
      <x:c r="F9" s="128" t="n">
        <x:v>0.02</x:v>
      </x:c>
      <x:c r="G9" s="127" t="str">
        <x:v>Author-requested nearest-grid entry correction; midpoint rounded down following prior author choices. No per-run recomputation.</x:v>
      </x:c>
      <x:c r="H9" s="127" t="str">
        <x:v>Static input</x:v>
      </x:c>
    </x:row>
    <x:row r="10" ht="66" customHeight="1">
      <x:c r="A10" s="127" t="str">
        <x:v>2026-09-03</x:v>
      </x:c>
      <x:c r="B10" s="127" t="str">
        <x:v>Suppression!G9</x:v>
      </x:c>
      <x:c r="C10" s="127" t="str">
        <x:v>Qwen3-VL-2B-Instruct; DCI; N=20; B=10; 1000 images x 5 runs</x:v>
      </x:c>
      <x:c r="D10" s="128" t="n">
        <x:v>89.15</x:v>
      </x:c>
      <x:c r="E10" s="128" t="n">
        <x:v>89.14</x:v>
      </x:c>
      <x:c r="F10" s="128" t="n">
        <x:v>0.02</x:v>
      </x:c>
      <x:c r="G10" s="127" t="str">
        <x:v>Author-requested nearest-grid entry correction; midpoint rounded down following prior author choices. No per-run recomputation.</x:v>
      </x:c>
      <x:c r="H10" s="127" t="str">
        <x:v>Static input</x:v>
      </x:c>
    </x:row>
    <x:row r="11" ht="66" customHeight="1">
      <x:c r="A11" s="127" t="str">
        <x:v>2026-09-03</x:v>
      </x:c>
      <x:c r="B11" s="127" t="str">
        <x:v>Suppression!E27</x:v>
      </x:c>
      <x:c r="C11" s="127" t="str">
        <x:v>Kimi-VL-A3B-Instruct; Flat; N=20; 1000 images x 5 runs</x:v>
      </x:c>
      <x:c r="D11" s="128" t="n">
        <x:v>87.71</x:v>
      </x:c>
      <x:c r="E11" s="128" t="n">
        <x:v>87.7</x:v>
      </x:c>
      <x:c r="F11" s="128" t="n">
        <x:v>0.02</x:v>
      </x:c>
      <x:c r="G11" s="127" t="str">
        <x:v>Author-requested nearest-grid entry correction; midpoint rounded down following prior author choices. No per-run recomputation.</x:v>
      </x:c>
      <x:c r="H11" s="127" t="str">
        <x:v>Static input</x:v>
      </x:c>
    </x:row>
    <x:row r="12" ht="66" customHeight="1">
      <x:c r="A12" s="127" t="str">
        <x:v>2026-09-03</x:v>
      </x:c>
      <x:c r="B12" s="127" t="str">
        <x:v>Suppression!G27</x:v>
      </x:c>
      <x:c r="C12" s="127" t="str">
        <x:v>Kimi-VL-A3B-Instruct; DCI; N=20; B=10; 1000 images x 5 runs</x:v>
      </x:c>
      <x:c r="D12" s="128" t="n">
        <x:v>83.87</x:v>
      </x:c>
      <x:c r="E12" s="128" t="n">
        <x:v>83.86</x:v>
      </x:c>
      <x:c r="F12" s="128" t="n">
        <x:v>0.02</x:v>
      </x:c>
      <x:c r="G12" s="127" t="str">
        <x:v>Author-requested nearest-grid entry correction; midpoint rounded down following prior author choices. No per-run recomputation.</x:v>
      </x:c>
      <x:c r="H12" s="127" t="str">
        <x:v>Static input</x:v>
      </x:c>
    </x:row>
    <x:row r="13" ht="66" customHeight="1">
      <x:c r="A13" s="127" t="str">
        <x:v>2026-09-03</x:v>
      </x:c>
      <x:c r="B13" s="127" t="str">
        <x:v>Suppression!E33</x:v>
      </x:c>
      <x:c r="C13" s="127" t="str">
        <x:v>Gemma-4-E4B; Flat; N=20; 1000 images x 5 runs</x:v>
      </x:c>
      <x:c r="D13" s="128" t="n">
        <x:v>82.17</x:v>
      </x:c>
      <x:c r="E13" s="128" t="n">
        <x:v>82.16</x:v>
      </x:c>
      <x:c r="F13" s="128" t="n">
        <x:v>0.02</x:v>
      </x:c>
      <x:c r="G13" s="127" t="str">
        <x:v>Author-requested nearest-grid entry correction; midpoint rounded down following prior author choices. No per-run recomputation.</x:v>
      </x:c>
      <x:c r="H13" s="127" t="str">
        <x:v>Static input</x:v>
      </x:c>
    </x:row>
    <x:row r="14" ht="66" customHeight="1">
      <x:c r="A14" s="127" t="str">
        <x:v>2026-09-03</x:v>
      </x:c>
      <x:c r="B14" s="127" t="str">
        <x:v>IN21K Group Size!F2</x:v>
      </x:c>
      <x:c r="C14" s="127" t="str">
        <x:v>Qwen3-VL-2B-Instruct; ImageNet-21K; B=50; 1000 images x 5 runs</x:v>
      </x:c>
      <x:c r="D14" s="128" t="n">
        <x:v>16.55</x:v>
      </x:c>
      <x:c r="E14" s="128" t="n">
        <x:v>16.54</x:v>
      </x:c>
      <x:c r="F14" s="128" t="n">
        <x:v>0.02</x:v>
      </x:c>
      <x:c r="G14" s="127" t="str">
        <x:v>Author-requested nearest-grid entry correction; midpoint rounded down following prior author choices. No per-run recomputation.</x:v>
      </x:c>
      <x:c r="H14" s="127" t="str">
        <x:v>Static input</x:v>
      </x:c>
    </x:row>
    <x:row r="15" ht="66" customHeight="1">
      <x:c r="A15" s="127" t="str">
        <x:v>2026-09-03</x:v>
      </x:c>
      <x:c r="B15" s="127" t="str">
        <x:v>IN21K Group Size!F10</x:v>
      </x:c>
      <x:c r="C15" s="127" t="str">
        <x:v>Qwen3-VL-2B-Instruct; ImageNet-21K; B=500; 1000 images x 5 runs</x:v>
      </x:c>
      <x:c r="D15" s="128" t="n">
        <x:v>19.71</x:v>
      </x:c>
      <x:c r="E15" s="128" t="n">
        <x:v>19.7</x:v>
      </x:c>
      <x:c r="F15" s="128" t="n">
        <x:v>0.02</x:v>
      </x:c>
      <x:c r="G15" s="127" t="str">
        <x:v>Author-requested nearest-grid entry correction; midpoint rounded down following prior author choices. No per-run recomputation.</x:v>
      </x:c>
      <x:c r="H15" s="127" t="str">
        <x:v>Static input</x:v>
      </x:c>
    </x:row>
    <x:row r="16" ht="66" customHeight="1">
      <x:c r="A16" s="127" t="str">
        <x:v>2026-09-03</x:v>
      </x:c>
      <x:c r="B16" s="127" t="str">
        <x:v>IN21K Group Size!F14</x:v>
      </x:c>
      <x:c r="C16" s="127" t="str">
        <x:v>Qwen3-VL-2B-Instruct; ImageNet-21K; B=1000; 1000 images x 5 runs</x:v>
      </x:c>
      <x:c r="D16" s="128" t="n">
        <x:v>18.25</x:v>
      </x:c>
      <x:c r="E16" s="128" t="n">
        <x:v>18.24</x:v>
      </x:c>
      <x:c r="F16" s="128" t="n">
        <x:v>0.02</x:v>
      </x:c>
      <x:c r="G16" s="127" t="str">
        <x:v>Author-requested nearest-grid entry correction; midpoint rounded down following prior author choices. No per-run recomputation.</x:v>
      </x:c>
      <x:c r="H16" s="127" t="str">
        <x:v>Static input</x:v>
      </x:c>
    </x:row>
    <x:row r="17" ht="66" customHeight="1">
      <x:c r="A17" s="127" t="str">
        <x:v>2026-09-03</x:v>
      </x:c>
      <x:c r="B17" s="127" t="str">
        <x:v>TTS!E20</x:v>
      </x:c>
      <x:c r="C17" s="127" t="str">
        <x:v>Historical ImageNet-21K TTS; PaS; 1000 images x 5 runs; excluded from current Figure 10; B not inferred</x:v>
      </x:c>
      <x:c r="D17" s="128" t="n">
        <x:v>11.59</x:v>
      </x:c>
      <x:c r="E17" s="128" t="n">
        <x:v>11.58</x:v>
      </x:c>
      <x:c r="F17" s="128" t="n">
        <x:v>0.02</x:v>
      </x:c>
      <x:c r="G17" s="127" t="str">
        <x:v>Author-requested nearest-grid entry correction; midpoint rounded down following prior author choices. No per-run recomputation.</x:v>
      </x:c>
      <x:c r="H17" s="127" t="str">
        <x:v>Static input</x:v>
      </x:c>
    </x:row>
    <x:row r="18" ht="66" customHeight="1">
      <x:c r="A18" s="127" t="str">
        <x:v>2026-09-03</x:v>
      </x:c>
      <x:c r="B18" s="127" t="str">
        <x:v>TTS!E24</x:v>
      </x:c>
      <x:c r="C18" s="127" t="str">
        <x:v>Historical ImageNet-21K TTS; DCI-S; 1000 images x 5 runs; excluded from current Figure 10; B not inferred</x:v>
      </x:c>
      <x:c r="D18" s="128" t="n">
        <x:v>34.69</x:v>
      </x:c>
      <x:c r="E18" s="128" t="n">
        <x:v>34.68</x:v>
      </x:c>
      <x:c r="F18" s="128" t="n">
        <x:v>0.02</x:v>
      </x:c>
      <x:c r="G18" s="127" t="str">
        <x:v>Author-requested nearest-grid entry correction; midpoint rounded down following prior author choices. No per-run recomputation.</x:v>
      </x:c>
      <x:c r="H18" s="127" t="str">
        <x:v>Static input</x:v>
      </x:c>
    </x:row>
    <x:row r="19" ht="66" customHeight="1">
      <x:c r="A19" s="127" t="str">
        <x:v>2026-09-03</x:v>
      </x:c>
      <x:c r="B19" s="127" t="str">
        <x:v>TTS!E25</x:v>
      </x:c>
      <x:c r="C19" s="127" t="str">
        <x:v>Historical ImageNet-21K TTS; DCI-P; 1000 images x 5 runs; excluded from current Figure 10; B not inferred</x:v>
      </x:c>
      <x:c r="D19" s="128" t="n">
        <x:v>34.69</x:v>
      </x:c>
      <x:c r="E19" s="128" t="n">
        <x:v>34.68</x:v>
      </x:c>
      <x:c r="F19" s="128" t="n">
        <x:v>0.02</x:v>
      </x:c>
      <x:c r="G19" s="127" t="str">
        <x:v>Author-requested nearest-grid entry correction; midpoint rounded down following prior author choices. No per-run recomputation.</x:v>
      </x:c>
      <x:c r="H19" s="127" t="str">
        <x:v>Static input</x:v>
      </x:c>
    </x:row>
    <x:row r="20" ht="66" customHeight="1">
      <x:c r="A20" s="127"/>
      <x:c r="B20" s="127"/>
      <x:c r="C20" s="127"/>
      <x:c r="D20" s="127"/>
      <x:c r="E20" s="127"/>
      <x:c r="F20" s="127"/>
      <x:c r="G20" s="127"/>
      <x:c r="H20" s="127"/>
    </x:row>
    <x:row r="21" ht="66" customHeight="1">
      <x:c r="A21" s="127" t="str">
        <x:v>Scope</x:v>
      </x:c>
      <x:c r="B21" s="127" t="str">
        <x:v>Entry / derived-value corrections</x:v>
      </x:c>
      <x:c r="C21" s="127" t="str">
        <x:v>SD, latency, costs, and historical Raw Data unchanged.</x:v>
      </x:c>
      <x:c r="D21" s="127"/>
      <x:c r="E21" s="127"/>
      <x:c r="F21" s="127"/>
      <x:c r="G21" s="127" t="str">
        <x:v>Original files backed up; no original five-run counts were available. Midpoint rule is a processing convention, not new experimental verification.</x:v>
      </x:c>
      <x:c r="H21" s="127" t="str">
        <x:v>Previous N10 Corrections and Confirmation Log sheets preserved.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5" hidden="0" customWidth="1"/>
    <x:col min="3" max="3" width="17" hidden="0" customWidth="1"/>
    <x:col min="4" max="4" width="17" hidden="0" customWidth="1"/>
    <x:col min="5" max="5" width="16" hidden="0" customWidth="1"/>
    <x:col min="6" max="6" width="10" hidden="0" customWidth="1"/>
    <x:col min="7" max="7" width="14" hidden="0" customWidth="1"/>
    <x:col min="8" max="8" width="18" hidden="0" customWidth="1"/>
    <x:col min="9" max="9" width="55" hidden="0" customWidth="1"/>
  </x:cols>
  <x:sheetData>
    <x:row r="1" ht="36" customHeight="1">
      <x:c r="A1" s="135" t="str">
        <x:v>Date</x:v>
      </x:c>
      <x:c r="B1" s="135" t="str">
        <x:v>Setting</x:v>
      </x:c>
      <x:c r="C1" s="135" t="str">
        <x:v>Previous mean (%)</x:v>
      </x:c>
      <x:c r="D1" s="135" t="str">
        <x:v>Author input (%)</x:v>
      </x:c>
      <x:c r="E1" s="135" t="str">
        <x:v>Images / run</x:v>
      </x:c>
      <x:c r="F1" s="135" t="str">
        <x:v>Runs</x:v>
      </x:c>
      <x:c r="G1" s="135" t="str">
        <x:v>Step (pp)</x:v>
      </x:c>
      <x:c r="H1" s="135" t="str">
        <x:v>Updated mean (%)</x:v>
      </x:c>
      <x:c r="I1" s="135" t="str">
        <x:v>Basis</x:v>
      </x:c>
    </x:row>
    <x:row r="2" ht="86" customHeight="1">
      <x:c r="A2" s="127" t="str">
        <x:v>2026-09-03</x:v>
      </x:c>
      <x:c r="B2" s="127" t="str">
        <x:v>Kimi-VL-A3B-Instruct; DCI; N=B=10</x:v>
      </x:c>
      <x:c r="C2" s="128" t="n">
        <x:v>88.84</x:v>
      </x:c>
      <x:c r="D2" s="128" t="n">
        <x:v>93.15</x:v>
      </x:c>
      <x:c r="E2" s="127" t="n">
        <x:v>500</x:v>
      </x:c>
      <x:c r="F2" s="127" t="n">
        <x:v>5</x:v>
      </x:c>
      <x:c r="G2" s="128" t="n">
        <x:f>100/(E2*F2)</x:f>
        <x:v>0.04</x:v>
      </x:c>
      <x:c r="H2" s="128" t="n">
        <x:f>ROUND(D2/G2,0)*G2</x:f>
        <x:v>93.16</x:v>
      </x:c>
      <x:c r="I2" s="127" t="str">
        <x:v>Author-supplied correction, followed by requested nearest-step adjustment. No per-run counts available.</x:v>
      </x:c>
    </x:row>
    <x:row r="3">
      <x:c r="A3" s="124"/>
      <x:c r="B3" s="124"/>
      <x:c r="C3" s="124"/>
      <x:c r="D3" s="124"/>
      <x:c r="E3" s="124"/>
      <x:c r="F3" s="124"/>
      <x:c r="G3" s="124"/>
      <x:c r="H3" s="124"/>
      <x:c r="I3" s="124"/>
    </x:row>
    <x:row r="4" ht="36" customHeight="1">
      <x:c r="A4" s="135" t="str">
        <x:v>Flat mean (%)</x:v>
      </x:c>
      <x:c r="B4" s="135" t="str">
        <x:v>Flat SD (pp)</x:v>
      </x:c>
      <x:c r="C4" s="135" t="str">
        <x:v>DCI SD (pp)</x:v>
      </x:c>
      <x:c r="D4" s="135" t="str">
        <x:v>Gain before (pp)</x:v>
      </x:c>
      <x:c r="E4" s="135" t="str">
        <x:v>Gain after (pp)</x:v>
      </x:c>
      <x:c r="F4" s="135"/>
      <x:c r="G4" s="135"/>
      <x:c r="H4" s="135"/>
      <x:c r="I4" s="135" t="str">
        <x:v>SD values retained; not recomputed.</x:v>
      </x:c>
    </x:row>
    <x:row r="5">
      <x:c r="A5" s="136" t="n">
        <x:v>94.28</x:v>
      </x:c>
      <x:c r="B5" s="136" t="n">
        <x:v>1.83</x:v>
      </x:c>
      <x:c r="C5" s="136" t="n">
        <x:v>1.72</x:v>
      </x:c>
      <x:c r="D5" s="136" t="n">
        <x:f>ROUND(C2-A5,2)</x:f>
        <x:v>-5.44</x:v>
      </x:c>
      <x:c r="E5" s="136" t="n">
        <x:f>ROUND(H2-A5,2)</x:f>
        <x:v>-1.12</x:v>
      </x:c>
      <x:c r="F5" s="124"/>
      <x:c r="G5" s="124"/>
      <x:c r="H5" s="124"/>
      <x:c r="I5" s="124"/>
    </x:row>
    <x:row r="6">
      <x:c r="A6" s="124"/>
      <x:c r="B6" s="124"/>
      <x:c r="C6" s="124"/>
      <x:c r="D6" s="124"/>
      <x:c r="E6" s="124"/>
      <x:c r="F6" s="124"/>
      <x:c r="G6" s="124"/>
      <x:c r="H6" s="124"/>
      <x:c r="I6" s="124"/>
    </x:row>
    <x:row r="7" ht="40" customHeight="1">
      <x:c r="A7" s="127" t="str">
        <x:v>Prompt clarification: DCI and Flat do not use identical templates. DCI additionally permits None when none of the local candidate labels matches the image.</x:v>
      </x:c>
      <x:c r="B7" s="127"/>
      <x:c r="C7" s="127"/>
      <x:c r="D7" s="127"/>
      <x:c r="E7" s="127"/>
      <x:c r="F7" s="127"/>
      <x:c r="G7" s="127"/>
      <x:c r="H7" s="127"/>
      <x:c r="I7" s="127"/>
    </x:row>
    <x:row r="8" ht="40" customHeight="1">
      <x:c r="A8" s="127" t="str">
        <x:v>Previous correction logs are historical records and are preserved. The current value in the experiment table is 93.16%.</x:v>
      </x:c>
      <x:c r="B8" s="127"/>
      <x:c r="C8" s="127"/>
      <x:c r="D8" s="127"/>
      <x:c r="E8" s="127"/>
      <x:c r="F8" s="127"/>
      <x:c r="G8" s="127"/>
      <x:c r="H8" s="127"/>
      <x:c r="I8" s="127"/>
    </x:row>
  </x:sheetData>
  <x:mergeCells>
    <x:mergeCell ref="A7:I7"/>
    <x:mergeCell ref="A8:I8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5" hidden="0" customWidth="1"/>
    <x:col min="3" max="3" width="17" hidden="0" customWidth="1"/>
    <x:col min="4" max="4" width="25" hidden="0" customWidth="1"/>
    <x:col min="5" max="5" width="17" hidden="0" customWidth="1"/>
    <x:col min="6" max="6" width="48" hidden="0" customWidth="1"/>
  </x:cols>
  <x:sheetData>
    <x:row r="1" ht="30" customHeight="1">
      <x:c r="A1" s="138" t="str">
        <x:v>SD reporting authority — author confirmed 2026-09-03</x:v>
      </x:c>
      <x:c r="B1" s="138"/>
      <x:c r="C1" s="138"/>
      <x:c r="D1" s="138"/>
      <x:c r="E1" s="138"/>
      <x:c r="F1" s="138"/>
    </x:row>
    <x:row r="2" ht="25" customHeight="1">
      <x:c r="A2" s="127" t="str">
        <x:v>Use the SD values already reported in the manuscript (Current results sheets). Historical source entries are retained for provenance. This confirms the reporting version; SDs are not recomputed or converted.</x:v>
      </x:c>
      <x:c r="B2" s="127"/>
      <x:c r="C2" s="127"/>
      <x:c r="D2" s="127"/>
      <x:c r="E2" s="127"/>
      <x:c r="F2" s="127"/>
    </x:row>
    <x:row r="3" ht="25" customHeight="1">
      <x:c r="A3" s="127"/>
      <x:c r="B3" s="127"/>
      <x:c r="C3" s="127"/>
      <x:c r="D3" s="127"/>
      <x:c r="E3" s="127"/>
      <x:c r="F3" s="127"/>
    </x:row>
    <x:row r="4" ht="36" customHeight="1">
      <x:c r="A4" s="141" t="str">
        <x:v>Setting / scope</x:v>
      </x:c>
      <x:c r="B4" s="141" t="str">
        <x:v>Historical cell</x:v>
      </x:c>
      <x:c r="C4" s="141" t="str">
        <x:v>Historical SD</x:v>
      </x:c>
      <x:c r="D4" s="141" t="str">
        <x:v>Current authority cell</x:v>
      </x:c>
      <x:c r="E4" s="141" t="str">
        <x:v>Selected SD</x:v>
      </x:c>
      <x:c r="F4" s="141" t="str">
        <x:v>Status / provenance</x:v>
      </x:c>
    </x:row>
    <x:row r="5" ht="30" customHeight="1">
      <x:c r="A5" s="127" t="str">
        <x:v>All current result sheets retain their existing manuscript SDs. Source workbooks now identify the paper-aligned authority and preserve older entries as history. No mean, SD, latency, cost or gain is changed by this update.</x:v>
      </x:c>
      <x:c r="B5" s="127"/>
      <x:c r="C5" s="128"/>
      <x:c r="D5" s="127"/>
      <x:c r="E5" s="128"/>
      <x:c r="F5" s="127"/>
    </x:row>
    <x:row r="6" ht="30" customHeight="1">
      <x:c r="A6" s="127"/>
      <x:c r="B6" s="127"/>
      <x:c r="C6" s="128"/>
      <x:c r="D6" s="127"/>
      <x:c r="E6" s="128"/>
      <x:c r="F6" s="127"/>
    </x:row>
    <x:row r="7" ht="25" customHeight="1">
      <x:c r="A7" s="124"/>
      <x:c r="B7" s="124"/>
      <x:c r="C7" s="136"/>
      <x:c r="D7" s="124"/>
      <x:c r="E7" s="136"/>
      <x:c r="F7" s="124"/>
    </x:row>
  </x:sheetData>
  <x:mergeCells>
    <x:mergeCell ref="A1:F1"/>
    <x:mergeCell ref="A2:F3"/>
    <x:mergeCell ref="A5:F6"/>
  </x:mergeCells>
  <x:pageMargins left="0.7" right="0.7" top="0.75" bottom="0.75" header="0.3" footer="0.3"/>
</x:worksheet>
</file>